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tup" sheetId="1" r:id="rId4"/>
    <sheet state="visible" name="Business Scoring" sheetId="2" r:id="rId5"/>
  </sheets>
  <definedNames/>
  <calcPr/>
  <extLst>
    <ext uri="GoogleSheetsCustomDataVersion2">
      <go:sheetsCustomData xmlns:go="http://customooxmlschemas.google.com/" r:id="rId6" roundtripDataChecksum="xdsmFOkRadS0x/sPNA/VpjVJPyDI1NScFz13auKHajs="/>
    </ext>
  </extLst>
</workbook>
</file>

<file path=xl/sharedStrings.xml><?xml version="1.0" encoding="utf-8"?>
<sst xmlns="http://schemas.openxmlformats.org/spreadsheetml/2006/main" count="177" uniqueCount="112">
  <si>
    <t>Green Way – Partner Scoring Setup</t>
  </si>
  <si>
    <t>Metric</t>
  </si>
  <si>
    <t>Max Points</t>
  </si>
  <si>
    <t>Weight (0–1)</t>
  </si>
  <si>
    <t>Weighted Max</t>
  </si>
  <si>
    <t>Legal compliance (reg/insurance)</t>
  </si>
  <si>
    <t>Recognised certification (e.g., B Corp, sustainable restaurant association, net zero)</t>
  </si>
  <si>
    <t>Local supply chain (≤100 miles)</t>
  </si>
  <si>
    <t>Waste reduction/refill/composting</t>
  </si>
  <si>
    <t>Renewable electricity tariff</t>
  </si>
  <si>
    <t>Low-impact packaging</t>
  </si>
  <si>
    <t>Reusable container incentives</t>
  </si>
  <si>
    <t>Written carbon/sustainability plan</t>
  </si>
  <si>
    <t>Priority Thresholds (Total Score)</t>
  </si>
  <si>
    <t>High Priority if score ≥</t>
  </si>
  <si>
    <t>Medium Priority if score ≥</t>
  </si>
  <si>
    <t>Otherwise</t>
  </si>
  <si>
    <t>Low Priority</t>
  </si>
  <si>
    <t>Notes</t>
  </si>
  <si>
    <t>Adjust weights and thresholds to match your go-to-market strategy. Business Scoring sheet updates automatically.</t>
  </si>
  <si>
    <t>Business Name</t>
  </si>
  <si>
    <t>Category</t>
  </si>
  <si>
    <t>Town/City</t>
  </si>
  <si>
    <t>Website</t>
  </si>
  <si>
    <t>Email</t>
  </si>
  <si>
    <t>Legal (0–20)</t>
  </si>
  <si>
    <t>Cert (0–20)</t>
  </si>
  <si>
    <t>Local Supply (0–10)</t>
  </si>
  <si>
    <t>Waste (0–10)</t>
  </si>
  <si>
    <t>Energy (0–10)</t>
  </si>
  <si>
    <t>Packaging (0–10)</t>
  </si>
  <si>
    <t>Reusable Incentives (0–10)</t>
  </si>
  <si>
    <t>Carbon Plan (0–10)</t>
  </si>
  <si>
    <t>Evidence/Notes</t>
  </si>
  <si>
    <t>Total Score (0–100)</t>
  </si>
  <si>
    <t>Priority</t>
  </si>
  <si>
    <t>Reach-out Status</t>
  </si>
  <si>
    <t>Owner</t>
  </si>
  <si>
    <t>Next Action Date</t>
  </si>
  <si>
    <t>The Canteen</t>
  </si>
  <si>
    <t>Cafe/Restaurant</t>
  </si>
  <si>
    <t>Bristol</t>
  </si>
  <si>
    <t>https://www.canteenbristol.co.uk/contact-the-canteen-bristol/</t>
  </si>
  <si>
    <t>hello@canteenbristol.co.uk</t>
  </si>
  <si>
    <t>See website</t>
  </si>
  <si>
    <t>Contacted</t>
  </si>
  <si>
    <t xml:space="preserve">Better Food Company </t>
  </si>
  <si>
    <t>Grocery</t>
  </si>
  <si>
    <t>https://www.betterfood.co.uk/</t>
  </si>
  <si>
    <t>marketing@betterfood.co.uk</t>
  </si>
  <si>
    <t>Ruby &amp; White</t>
  </si>
  <si>
    <t>https://www.rubyandwhiteathome.com/</t>
  </si>
  <si>
    <t>https://www.rubyandwhiteathome.com/contact</t>
  </si>
  <si>
    <t>The Bristol Cheesemonger</t>
  </si>
  <si>
    <t>https://www.bristol-cheese.co.uk/</t>
  </si>
  <si>
    <t>shop@bristol-cheese.co.uk</t>
  </si>
  <si>
    <t>Preserve Foods</t>
  </si>
  <si>
    <t>http://preservefoods.co.uk/</t>
  </si>
  <si>
    <t xml:space="preserve">preservefoodsbristol@gmail.com
</t>
  </si>
  <si>
    <t>Harvest</t>
  </si>
  <si>
    <t>https://harvest-bristol.coop/</t>
  </si>
  <si>
    <t>Scoopaway Health Foods</t>
  </si>
  <si>
    <t>http://www.scoopawayhealthfoods.co.uk/</t>
  </si>
  <si>
    <t>44 117 987 2199</t>
  </si>
  <si>
    <t>Not contacted</t>
  </si>
  <si>
    <t>Wild Oats Natural Foods</t>
  </si>
  <si>
    <t>https://woats.co.uk/</t>
  </si>
  <si>
    <t>enquiries@wild-oats.co.uk</t>
  </si>
  <si>
    <t>Earthbound Bristol Health store</t>
  </si>
  <si>
    <t>https://www.beyondretro.com/pages/store-locator-bristol</t>
  </si>
  <si>
    <t>Beyond Retro</t>
  </si>
  <si>
    <t>Charity/Reuse</t>
  </si>
  <si>
    <t>https://www.happycow.net/reviews/earthbound-bristol-6041</t>
  </si>
  <si>
    <t>Lush</t>
  </si>
  <si>
    <t>Retail</t>
  </si>
  <si>
    <t>https://www.lush.com/uk/en</t>
  </si>
  <si>
    <t>https://www.lush.com/uk/en/</t>
  </si>
  <si>
    <t>Mabboo</t>
  </si>
  <si>
    <t>http://www.mabboo.com/</t>
  </si>
  <si>
    <t>https://www.mabboo.com/contact</t>
  </si>
  <si>
    <t>Zero Green</t>
  </si>
  <si>
    <t>http://www.zerogreenbristol.co.uk/</t>
  </si>
  <si>
    <t>https://www.zerogreenbristol.co.uk/</t>
  </si>
  <si>
    <t>Poco</t>
  </si>
  <si>
    <t>https://www.pocotapasbar.com/</t>
  </si>
  <si>
    <t>https://www.pocotapasbar.com/contact</t>
  </si>
  <si>
    <t>The Granary</t>
  </si>
  <si>
    <t>https://www.granarybristol.com/</t>
  </si>
  <si>
    <t>Root</t>
  </si>
  <si>
    <t>http://www.rootbristol.co.uk/</t>
  </si>
  <si>
    <t>https://www.rootbristol.co.uk/contact</t>
  </si>
  <si>
    <t>COR</t>
  </si>
  <si>
    <t>https://www.correstaurant.com/</t>
  </si>
  <si>
    <t>manager@correstaurant.com</t>
  </si>
  <si>
    <t>Pasture</t>
  </si>
  <si>
    <t>http://www.pasturerestaurant.com/</t>
  </si>
  <si>
    <t>https://www.pasturerestaurant.com/contact</t>
  </si>
  <si>
    <t>Eat a Pitta</t>
  </si>
  <si>
    <t>https://www.eatapitta.co.uk/</t>
  </si>
  <si>
    <t>https://www.eatapitta.co.uk/contact</t>
  </si>
  <si>
    <t>Pieminister</t>
  </si>
  <si>
    <t>http://www.pieminister.co.uk/restaurants/broadquay/</t>
  </si>
  <si>
    <t>https://www.pieminister.co.uk/restaurants/broadquay/</t>
  </si>
  <si>
    <t>Ashwell &amp; Co.</t>
  </si>
  <si>
    <t>http://www.ashwellandco.com/</t>
  </si>
  <si>
    <t>https://www.ashwellandco.com/contact</t>
  </si>
  <si>
    <t>Green Woods Furniture</t>
  </si>
  <si>
    <t>http://www.greenwoodsfurniture.co.uk/</t>
  </si>
  <si>
    <t>https://www.greenwoodsfurniture.co.uk/contact</t>
  </si>
  <si>
    <t>Clayton Hotel Bristol</t>
  </si>
  <si>
    <t>Services</t>
  </si>
  <si>
    <t>https://www.claytonhotelbristolcity.com/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</si>
</sst>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4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b/>
      <color rgb="FFFFFFFF"/>
      <name val="Calibri"/>
      <scheme val="minor"/>
    </font>
    <font>
      <i/>
      <color rgb="FF555555"/>
      <name val="Calibri"/>
      <scheme val="minor"/>
    </font>
    <font>
      <u/>
      <color rgb="FF0000FF"/>
    </font>
    <font>
      <u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57BB8A"/>
        <bgColor rgb="FF57BB8A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</fills>
  <borders count="5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3" numFmtId="0" xfId="0" applyAlignment="1" applyFont="1">
      <alignment readingOrder="0"/>
    </xf>
    <xf borderId="1" fillId="2" fontId="4" numFmtId="0" xfId="0" applyAlignment="1" applyBorder="1" applyFill="1" applyFont="1">
      <alignment horizontal="center" shrinkToFit="0" vertical="center" wrapText="1"/>
    </xf>
    <xf borderId="1" fillId="2" fontId="4" numFmtId="0" xfId="0" applyAlignment="1" applyBorder="1" applyFont="1">
      <alignment horizontal="center" readingOrder="0" shrinkToFit="0" vertical="center" wrapText="1"/>
    </xf>
    <xf borderId="2" fillId="3" fontId="5" numFmtId="0" xfId="0" applyAlignment="1" applyBorder="1" applyFill="1" applyFont="1">
      <alignment vertical="center"/>
    </xf>
    <xf borderId="3" fillId="3" fontId="5" numFmtId="0" xfId="0" applyAlignment="1" applyBorder="1" applyFont="1">
      <alignment vertical="center"/>
    </xf>
    <xf borderId="4" fillId="3" fontId="5" numFmtId="0" xfId="0" applyAlignment="1" applyBorder="1" applyFont="1">
      <alignment vertical="center"/>
    </xf>
    <xf borderId="0" fillId="3" fontId="5" numFmtId="0" xfId="0" applyAlignment="1" applyFont="1">
      <alignment vertical="center"/>
    </xf>
    <xf borderId="0" fillId="0" fontId="6" numFmtId="0" xfId="0" applyAlignment="1" applyFont="1">
      <alignment readingOrder="0"/>
    </xf>
    <xf borderId="0" fillId="4" fontId="3" numFmtId="0" xfId="0" applyAlignment="1" applyFill="1" applyFont="1">
      <alignment readingOrder="0"/>
    </xf>
    <xf borderId="0" fillId="0" fontId="3" numFmtId="0" xfId="0" applyFont="1"/>
    <xf borderId="0" fillId="0" fontId="7" numFmtId="0" xfId="0" applyAlignment="1" applyFont="1">
      <alignment readingOrder="0"/>
    </xf>
  </cellXfs>
  <cellStyles count="1">
    <cellStyle xfId="0" name="Normal" builtinId="0"/>
  </cellStyles>
  <dxfs count="3">
    <dxf>
      <font/>
      <fill>
        <patternFill patternType="solid">
          <fgColor rgb="FFC6EFCE"/>
          <bgColor rgb="FFC6EFCE"/>
        </patternFill>
      </fill>
      <border/>
    </dxf>
    <dxf>
      <font/>
      <fill>
        <patternFill patternType="solid">
          <fgColor rgb="FFFFEB9C"/>
          <bgColor rgb="FFFFEB9C"/>
        </patternFill>
      </fill>
      <border/>
    </dxf>
    <dxf>
      <font/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pocotapasbar.com/" TargetMode="External"/><Relationship Id="rId22" Type="http://schemas.openxmlformats.org/officeDocument/2006/relationships/hyperlink" Target="https://www.granarybristol.com/" TargetMode="External"/><Relationship Id="rId21" Type="http://schemas.openxmlformats.org/officeDocument/2006/relationships/hyperlink" Target="https://www.pocotapasbar.com/contact" TargetMode="External"/><Relationship Id="rId24" Type="http://schemas.openxmlformats.org/officeDocument/2006/relationships/hyperlink" Target="http://www.rootbristol.co.uk/" TargetMode="External"/><Relationship Id="rId23" Type="http://schemas.openxmlformats.org/officeDocument/2006/relationships/hyperlink" Target="https://www.granarybristol.com/" TargetMode="External"/><Relationship Id="rId1" Type="http://schemas.openxmlformats.org/officeDocument/2006/relationships/hyperlink" Target="https://www.canteenbristol.co.uk/contact-the-canteen-bristol/" TargetMode="External"/><Relationship Id="rId2" Type="http://schemas.openxmlformats.org/officeDocument/2006/relationships/hyperlink" Target="https://www.betterfood.co.uk/" TargetMode="External"/><Relationship Id="rId3" Type="http://schemas.openxmlformats.org/officeDocument/2006/relationships/hyperlink" Target="https://www.rubyandwhiteathome.com/" TargetMode="External"/><Relationship Id="rId4" Type="http://schemas.openxmlformats.org/officeDocument/2006/relationships/hyperlink" Target="https://www.rubyandwhiteathome.com/contact" TargetMode="External"/><Relationship Id="rId9" Type="http://schemas.openxmlformats.org/officeDocument/2006/relationships/hyperlink" Target="http://www.scoopawayhealthfoods.co.uk/" TargetMode="External"/><Relationship Id="rId26" Type="http://schemas.openxmlformats.org/officeDocument/2006/relationships/hyperlink" Target="https://www.correstaurant.com/" TargetMode="External"/><Relationship Id="rId25" Type="http://schemas.openxmlformats.org/officeDocument/2006/relationships/hyperlink" Target="https://www.rootbristol.co.uk/contact" TargetMode="External"/><Relationship Id="rId28" Type="http://schemas.openxmlformats.org/officeDocument/2006/relationships/hyperlink" Target="https://www.pasturerestaurant.com/contact" TargetMode="External"/><Relationship Id="rId27" Type="http://schemas.openxmlformats.org/officeDocument/2006/relationships/hyperlink" Target="http://www.pasturerestaurant.com/" TargetMode="External"/><Relationship Id="rId5" Type="http://schemas.openxmlformats.org/officeDocument/2006/relationships/hyperlink" Target="https://www.bristol-cheese.co.uk/" TargetMode="External"/><Relationship Id="rId6" Type="http://schemas.openxmlformats.org/officeDocument/2006/relationships/hyperlink" Target="http://preservefoods.co.uk/" TargetMode="External"/><Relationship Id="rId29" Type="http://schemas.openxmlformats.org/officeDocument/2006/relationships/hyperlink" Target="https://www.eatapitta.co.uk/" TargetMode="External"/><Relationship Id="rId7" Type="http://schemas.openxmlformats.org/officeDocument/2006/relationships/hyperlink" Target="https://harvest-bristol.coop/" TargetMode="External"/><Relationship Id="rId8" Type="http://schemas.openxmlformats.org/officeDocument/2006/relationships/hyperlink" Target="https://harvest-bristol.coop/" TargetMode="External"/><Relationship Id="rId31" Type="http://schemas.openxmlformats.org/officeDocument/2006/relationships/hyperlink" Target="http://www.pieminister.co.uk/restaurants/broadquay/" TargetMode="External"/><Relationship Id="rId30" Type="http://schemas.openxmlformats.org/officeDocument/2006/relationships/hyperlink" Target="https://www.eatapitta.co.uk/contact" TargetMode="External"/><Relationship Id="rId11" Type="http://schemas.openxmlformats.org/officeDocument/2006/relationships/hyperlink" Target="https://www.beyondretro.com/pages/store-locator-bristol" TargetMode="External"/><Relationship Id="rId33" Type="http://schemas.openxmlformats.org/officeDocument/2006/relationships/hyperlink" Target="http://www.ashwellandco.com/" TargetMode="External"/><Relationship Id="rId10" Type="http://schemas.openxmlformats.org/officeDocument/2006/relationships/hyperlink" Target="https://woats.co.uk/" TargetMode="External"/><Relationship Id="rId32" Type="http://schemas.openxmlformats.org/officeDocument/2006/relationships/hyperlink" Target="https://www.pieminister.co.uk/restaurants/broadquay/" TargetMode="External"/><Relationship Id="rId13" Type="http://schemas.openxmlformats.org/officeDocument/2006/relationships/hyperlink" Target="https://www.beyondretro.com/pages/store-locator-bristol" TargetMode="External"/><Relationship Id="rId35" Type="http://schemas.openxmlformats.org/officeDocument/2006/relationships/hyperlink" Target="http://www.greenwoodsfurniture.co.uk/" TargetMode="External"/><Relationship Id="rId12" Type="http://schemas.openxmlformats.org/officeDocument/2006/relationships/hyperlink" Target="https://www.happycow.net/reviews/earthbound-bristol-6041" TargetMode="External"/><Relationship Id="rId34" Type="http://schemas.openxmlformats.org/officeDocument/2006/relationships/hyperlink" Target="https://www.ashwellandco.com/contact" TargetMode="External"/><Relationship Id="rId15" Type="http://schemas.openxmlformats.org/officeDocument/2006/relationships/hyperlink" Target="https://www.lush.com/uk/en/" TargetMode="External"/><Relationship Id="rId37" Type="http://schemas.openxmlformats.org/officeDocument/2006/relationships/hyperlink" Target="https://www.claytonhotelbristolcity.com/" TargetMode="External"/><Relationship Id="rId14" Type="http://schemas.openxmlformats.org/officeDocument/2006/relationships/hyperlink" Target="https://www.lush.com/uk/en" TargetMode="External"/><Relationship Id="rId36" Type="http://schemas.openxmlformats.org/officeDocument/2006/relationships/hyperlink" Target="https://www.greenwoodsfurniture.co.uk/contact" TargetMode="External"/><Relationship Id="rId17" Type="http://schemas.openxmlformats.org/officeDocument/2006/relationships/hyperlink" Target="https://www.mabboo.com/contact" TargetMode="External"/><Relationship Id="rId39" Type="http://schemas.openxmlformats.org/officeDocument/2006/relationships/drawing" Target="../drawings/drawing2.xml"/><Relationship Id="rId16" Type="http://schemas.openxmlformats.org/officeDocument/2006/relationships/hyperlink" Target="http://www.mabboo.com/" TargetMode="External"/><Relationship Id="rId38" Type="http://schemas.openxmlformats.org/officeDocument/2006/relationships/hyperlink" Target="https://www.claytonhotelbristolcity.com/" TargetMode="External"/><Relationship Id="rId19" Type="http://schemas.openxmlformats.org/officeDocument/2006/relationships/hyperlink" Target="https://www.zerogreenbristol.co.uk/" TargetMode="External"/><Relationship Id="rId18" Type="http://schemas.openxmlformats.org/officeDocument/2006/relationships/hyperlink" Target="http://www.zerogreenbristol.co.uk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1.0"/>
    <col customWidth="1" min="2" max="2" width="12.0"/>
    <col customWidth="1" min="3" max="4" width="14.0"/>
    <col customWidth="1" min="5" max="26" width="8.7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</row>
    <row r="4">
      <c r="A4" s="3" t="s">
        <v>5</v>
      </c>
      <c r="B4" s="4">
        <v>20.0</v>
      </c>
      <c r="C4" s="3">
        <v>1.0</v>
      </c>
      <c r="D4" s="3">
        <f t="shared" ref="D4:D11" si="1">B4*C4</f>
        <v>20</v>
      </c>
    </row>
    <row r="5">
      <c r="A5" s="4" t="s">
        <v>6</v>
      </c>
      <c r="B5" s="3">
        <v>20.0</v>
      </c>
      <c r="C5" s="3">
        <v>1.0</v>
      </c>
      <c r="D5" s="3">
        <f t="shared" si="1"/>
        <v>20</v>
      </c>
    </row>
    <row r="6">
      <c r="A6" s="3" t="s">
        <v>7</v>
      </c>
      <c r="B6" s="3">
        <v>10.0</v>
      </c>
      <c r="C6" s="3">
        <v>1.0</v>
      </c>
      <c r="D6" s="3">
        <f t="shared" si="1"/>
        <v>10</v>
      </c>
    </row>
    <row r="7">
      <c r="A7" s="3" t="s">
        <v>8</v>
      </c>
      <c r="B7" s="3">
        <v>10.0</v>
      </c>
      <c r="C7" s="3">
        <v>1.0</v>
      </c>
      <c r="D7" s="3">
        <f t="shared" si="1"/>
        <v>10</v>
      </c>
    </row>
    <row r="8">
      <c r="A8" s="3" t="s">
        <v>9</v>
      </c>
      <c r="B8" s="3">
        <v>10.0</v>
      </c>
      <c r="C8" s="3">
        <v>1.0</v>
      </c>
      <c r="D8" s="3">
        <f t="shared" si="1"/>
        <v>10</v>
      </c>
    </row>
    <row r="9">
      <c r="A9" s="3" t="s">
        <v>10</v>
      </c>
      <c r="B9" s="3">
        <v>10.0</v>
      </c>
      <c r="C9" s="3">
        <v>1.0</v>
      </c>
      <c r="D9" s="3">
        <f t="shared" si="1"/>
        <v>10</v>
      </c>
    </row>
    <row r="10">
      <c r="A10" s="3" t="s">
        <v>11</v>
      </c>
      <c r="B10" s="3">
        <v>10.0</v>
      </c>
      <c r="C10" s="3">
        <v>1.0</v>
      </c>
      <c r="D10" s="3">
        <f t="shared" si="1"/>
        <v>10</v>
      </c>
    </row>
    <row r="11">
      <c r="A11" s="3" t="s">
        <v>12</v>
      </c>
      <c r="B11" s="3">
        <v>10.0</v>
      </c>
      <c r="C11" s="3">
        <v>1.0</v>
      </c>
      <c r="D11" s="3">
        <f t="shared" si="1"/>
        <v>10</v>
      </c>
    </row>
    <row r="14">
      <c r="A14" s="2" t="s">
        <v>13</v>
      </c>
    </row>
    <row r="15">
      <c r="A15" s="3" t="s">
        <v>14</v>
      </c>
      <c r="B15" s="4">
        <v>50.0</v>
      </c>
    </row>
    <row r="16">
      <c r="A16" s="3" t="s">
        <v>15</v>
      </c>
      <c r="B16" s="4">
        <v>40.0</v>
      </c>
    </row>
    <row r="17">
      <c r="A17" s="3" t="s">
        <v>16</v>
      </c>
      <c r="B17" s="3" t="s">
        <v>17</v>
      </c>
    </row>
    <row r="19">
      <c r="A19" s="2" t="s">
        <v>18</v>
      </c>
    </row>
    <row r="20" ht="15.75" customHeight="1">
      <c r="A20" s="3" t="s">
        <v>19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26.0"/>
    <col customWidth="1" min="2" max="2" width="16.0"/>
    <col customWidth="1" min="3" max="3" width="14.0"/>
    <col customWidth="1" min="4" max="5" width="28.0"/>
    <col customWidth="1" min="6" max="7" width="12.0"/>
    <col customWidth="1" min="8" max="8" width="14.0"/>
    <col customWidth="1" min="9" max="10" width="12.0"/>
    <col customWidth="1" min="11" max="11" width="14.0"/>
    <col customWidth="1" min="12" max="12" width="18.0"/>
    <col customWidth="1" min="13" max="13" width="14.0"/>
    <col customWidth="1" min="14" max="14" width="28.0"/>
    <col customWidth="1" min="15" max="15" width="16.0"/>
    <col customWidth="1" min="16" max="16" width="14.0"/>
    <col customWidth="1" min="17" max="17" width="16.0"/>
    <col customWidth="1" min="18" max="18" width="12.0"/>
    <col customWidth="1" min="19" max="19" width="16.0"/>
    <col customWidth="1" min="20" max="25" width="8.71"/>
  </cols>
  <sheetData>
    <row r="1">
      <c r="A1" s="5" t="s">
        <v>20</v>
      </c>
      <c r="B1" s="5" t="s">
        <v>21</v>
      </c>
      <c r="C1" s="5" t="s">
        <v>22</v>
      </c>
      <c r="D1" s="6" t="s">
        <v>23</v>
      </c>
      <c r="E1" s="6" t="s">
        <v>24</v>
      </c>
      <c r="F1" s="6" t="s">
        <v>25</v>
      </c>
      <c r="G1" s="5" t="s">
        <v>26</v>
      </c>
      <c r="H1" s="5" t="s">
        <v>27</v>
      </c>
      <c r="I1" s="5" t="s">
        <v>28</v>
      </c>
      <c r="J1" s="5" t="s">
        <v>29</v>
      </c>
      <c r="K1" s="5" t="s">
        <v>30</v>
      </c>
      <c r="L1" s="5" t="s">
        <v>31</v>
      </c>
      <c r="M1" s="5" t="s">
        <v>32</v>
      </c>
      <c r="N1" s="5" t="s">
        <v>33</v>
      </c>
      <c r="O1" s="5" t="s">
        <v>34</v>
      </c>
      <c r="P1" s="5" t="s">
        <v>35</v>
      </c>
      <c r="Q1" s="5" t="s">
        <v>36</v>
      </c>
      <c r="R1" s="5" t="s">
        <v>37</v>
      </c>
      <c r="S1" s="5" t="s">
        <v>38</v>
      </c>
    </row>
    <row r="2">
      <c r="A2" s="7"/>
      <c r="B2" s="8"/>
      <c r="C2" s="8"/>
      <c r="D2" s="9"/>
      <c r="E2" s="10"/>
      <c r="F2" s="3"/>
      <c r="G2" s="3"/>
      <c r="H2" s="3"/>
      <c r="I2" s="3"/>
      <c r="J2" s="3"/>
      <c r="K2" s="3"/>
      <c r="L2" s="3"/>
      <c r="M2" s="3"/>
      <c r="O2" s="3">
        <f t="shared" ref="O2:O201" si="1">SUM(F2:M2)</f>
        <v>0</v>
      </c>
      <c r="P2" s="3" t="str">
        <f>IF(O2="","",IF(O2&gt;=Setup!$B$15,"High",IF(O2&gt;=Setup!$B$16,"Medium","Low")))</f>
        <v>Low</v>
      </c>
      <c r="Q2" s="3"/>
    </row>
    <row r="3">
      <c r="A3" s="4" t="s">
        <v>39</v>
      </c>
      <c r="B3" s="4" t="s">
        <v>40</v>
      </c>
      <c r="C3" s="4" t="s">
        <v>41</v>
      </c>
      <c r="D3" s="11" t="s">
        <v>42</v>
      </c>
      <c r="E3" s="4" t="s">
        <v>43</v>
      </c>
      <c r="F3" s="12">
        <v>20.0</v>
      </c>
      <c r="G3" s="4">
        <v>20.0</v>
      </c>
      <c r="H3" s="4">
        <v>10.0</v>
      </c>
      <c r="I3" s="4">
        <v>10.0</v>
      </c>
      <c r="J3" s="4">
        <v>10.0</v>
      </c>
      <c r="K3" s="4">
        <v>10.0</v>
      </c>
      <c r="L3" s="4">
        <v>10.0</v>
      </c>
      <c r="M3" s="4">
        <v>10.0</v>
      </c>
      <c r="N3" s="4" t="s">
        <v>44</v>
      </c>
      <c r="O3" s="3">
        <f t="shared" si="1"/>
        <v>100</v>
      </c>
      <c r="P3" s="3" t="str">
        <f>IF(O3="","",IF(O3&gt;=Setup!$B$15,"High",IF(O3&gt;=Setup!$B$16,"Medium","Low")))</f>
        <v>High</v>
      </c>
      <c r="Q3" s="4" t="s">
        <v>45</v>
      </c>
    </row>
    <row r="4">
      <c r="A4" s="4" t="s">
        <v>46</v>
      </c>
      <c r="B4" s="4" t="s">
        <v>47</v>
      </c>
      <c r="C4" s="4" t="s">
        <v>41</v>
      </c>
      <c r="D4" s="11" t="s">
        <v>48</v>
      </c>
      <c r="E4" s="4" t="s">
        <v>49</v>
      </c>
      <c r="F4" s="4">
        <v>15.0</v>
      </c>
      <c r="G4" s="4">
        <v>0.0</v>
      </c>
      <c r="H4" s="4">
        <v>7.0</v>
      </c>
      <c r="I4" s="4">
        <v>6.0</v>
      </c>
      <c r="J4" s="4">
        <v>0.0</v>
      </c>
      <c r="K4" s="4">
        <v>6.0</v>
      </c>
      <c r="L4" s="4">
        <v>4.0</v>
      </c>
      <c r="M4" s="4">
        <v>8.0</v>
      </c>
      <c r="O4" s="3">
        <f t="shared" si="1"/>
        <v>46</v>
      </c>
      <c r="P4" s="3" t="str">
        <f>IF(O4="","",IF(O4&gt;=Setup!$B$15,"High",IF(O4&gt;=Setup!$B$16,"Medium","Low")))</f>
        <v>Medium</v>
      </c>
      <c r="Q4" s="4" t="s">
        <v>45</v>
      </c>
    </row>
    <row r="5">
      <c r="A5" s="4" t="s">
        <v>50</v>
      </c>
      <c r="B5" s="4" t="s">
        <v>47</v>
      </c>
      <c r="C5" s="4" t="s">
        <v>41</v>
      </c>
      <c r="D5" s="11" t="s">
        <v>51</v>
      </c>
      <c r="E5" s="11" t="s">
        <v>52</v>
      </c>
      <c r="F5" s="4">
        <v>15.0</v>
      </c>
      <c r="G5" s="4">
        <v>0.0</v>
      </c>
      <c r="H5" s="4">
        <v>6.0</v>
      </c>
      <c r="I5" s="4">
        <v>2.0</v>
      </c>
      <c r="J5" s="4">
        <v>0.0</v>
      </c>
      <c r="K5" s="4">
        <v>0.0</v>
      </c>
      <c r="L5" s="4">
        <v>0.0</v>
      </c>
      <c r="M5" s="4">
        <v>0.0</v>
      </c>
      <c r="O5" s="3">
        <f t="shared" si="1"/>
        <v>23</v>
      </c>
      <c r="P5" s="3" t="str">
        <f>IF(O5="","",IF(O5&gt;=Setup!$B$15,"High",IF(O5&gt;=Setup!$B$16,"Medium","Low")))</f>
        <v>Low</v>
      </c>
      <c r="Q5" s="4" t="s">
        <v>45</v>
      </c>
    </row>
    <row r="6">
      <c r="A6" s="4" t="s">
        <v>53</v>
      </c>
      <c r="B6" s="4" t="s">
        <v>47</v>
      </c>
      <c r="C6" s="4" t="s">
        <v>41</v>
      </c>
      <c r="D6" s="11" t="s">
        <v>54</v>
      </c>
      <c r="E6" s="4" t="s">
        <v>55</v>
      </c>
      <c r="F6" s="4">
        <v>15.0</v>
      </c>
      <c r="G6" s="4">
        <v>0.0</v>
      </c>
      <c r="H6" s="4">
        <v>8.0</v>
      </c>
      <c r="I6" s="4">
        <v>6.0</v>
      </c>
      <c r="J6" s="4">
        <v>0.0</v>
      </c>
      <c r="K6" s="4">
        <v>4.0</v>
      </c>
      <c r="L6" s="4">
        <v>6.0</v>
      </c>
      <c r="M6" s="4">
        <v>0.0</v>
      </c>
      <c r="O6" s="3">
        <f t="shared" si="1"/>
        <v>39</v>
      </c>
      <c r="P6" s="3" t="str">
        <f>IF(O6="","",IF(O6&gt;=Setup!$B$15,"High",IF(O6&gt;=Setup!$B$16,"Medium","Low")))</f>
        <v>Low</v>
      </c>
      <c r="Q6" s="4" t="s">
        <v>45</v>
      </c>
    </row>
    <row r="7">
      <c r="A7" s="4" t="s">
        <v>56</v>
      </c>
      <c r="B7" s="4" t="s">
        <v>47</v>
      </c>
      <c r="C7" s="4" t="s">
        <v>41</v>
      </c>
      <c r="D7" s="11" t="s">
        <v>57</v>
      </c>
      <c r="E7" s="4" t="s">
        <v>58</v>
      </c>
      <c r="F7" s="4">
        <v>15.0</v>
      </c>
      <c r="G7" s="4">
        <v>0.0</v>
      </c>
      <c r="H7" s="4">
        <v>6.0</v>
      </c>
      <c r="I7" s="4">
        <v>10.0</v>
      </c>
      <c r="J7" s="4">
        <v>0.0</v>
      </c>
      <c r="K7" s="4">
        <v>9.0</v>
      </c>
      <c r="L7" s="4">
        <v>10.0</v>
      </c>
      <c r="M7" s="4">
        <v>2.0</v>
      </c>
      <c r="O7" s="3">
        <f t="shared" si="1"/>
        <v>52</v>
      </c>
      <c r="P7" s="3" t="str">
        <f>IF(O7="","",IF(O7&gt;=Setup!$B$15,"High",IF(O7&gt;=Setup!$B$16,"Medium","Low")))</f>
        <v>High</v>
      </c>
      <c r="Q7" s="4" t="s">
        <v>45</v>
      </c>
    </row>
    <row r="8">
      <c r="A8" s="4" t="s">
        <v>59</v>
      </c>
      <c r="B8" s="4" t="s">
        <v>47</v>
      </c>
      <c r="C8" s="4" t="s">
        <v>41</v>
      </c>
      <c r="D8" s="11" t="s">
        <v>60</v>
      </c>
      <c r="E8" s="11" t="s">
        <v>60</v>
      </c>
      <c r="F8" s="4">
        <v>15.0</v>
      </c>
      <c r="G8" s="4">
        <v>0.0</v>
      </c>
      <c r="H8" s="4">
        <v>7.0</v>
      </c>
      <c r="I8" s="4">
        <v>10.0</v>
      </c>
      <c r="J8" s="4">
        <v>0.0</v>
      </c>
      <c r="K8" s="4">
        <v>6.0</v>
      </c>
      <c r="L8" s="4">
        <v>10.0</v>
      </c>
      <c r="M8" s="4">
        <v>2.0</v>
      </c>
      <c r="O8" s="3">
        <f t="shared" si="1"/>
        <v>50</v>
      </c>
      <c r="P8" s="3" t="str">
        <f>IF(O8="","",IF(O8&gt;=Setup!$B$15,"High",IF(O8&gt;=Setup!$B$16,"Medium","Low")))</f>
        <v>High</v>
      </c>
      <c r="Q8" s="4" t="s">
        <v>45</v>
      </c>
    </row>
    <row r="9">
      <c r="A9" s="4" t="s">
        <v>61</v>
      </c>
      <c r="B9" s="4" t="s">
        <v>47</v>
      </c>
      <c r="C9" s="4" t="s">
        <v>41</v>
      </c>
      <c r="D9" s="11" t="s">
        <v>62</v>
      </c>
      <c r="E9" s="4" t="s">
        <v>63</v>
      </c>
      <c r="F9" s="4">
        <v>15.0</v>
      </c>
      <c r="G9" s="4">
        <v>0.0</v>
      </c>
      <c r="H9" s="4">
        <v>3.0</v>
      </c>
      <c r="I9" s="4">
        <v>6.0</v>
      </c>
      <c r="J9" s="4">
        <v>0.0</v>
      </c>
      <c r="K9" s="4">
        <v>3.0</v>
      </c>
      <c r="L9" s="4">
        <v>7.0</v>
      </c>
      <c r="M9" s="4">
        <v>0.0</v>
      </c>
      <c r="O9" s="3">
        <f t="shared" si="1"/>
        <v>34</v>
      </c>
      <c r="P9" s="3" t="str">
        <f>IF(O9="","",IF(O9&gt;=Setup!$B$15,"High",IF(O9&gt;=Setup!$B$16,"Medium","Low")))</f>
        <v>Low</v>
      </c>
      <c r="Q9" s="4" t="s">
        <v>64</v>
      </c>
      <c r="R9" s="13"/>
    </row>
    <row r="10">
      <c r="A10" s="4" t="s">
        <v>65</v>
      </c>
      <c r="B10" s="4" t="s">
        <v>47</v>
      </c>
      <c r="C10" s="4" t="s">
        <v>41</v>
      </c>
      <c r="D10" s="11" t="s">
        <v>66</v>
      </c>
      <c r="E10" s="4" t="s">
        <v>67</v>
      </c>
      <c r="F10" s="4">
        <v>15.0</v>
      </c>
      <c r="G10" s="4">
        <v>0.0</v>
      </c>
      <c r="H10" s="4">
        <v>5.0</v>
      </c>
      <c r="I10" s="4">
        <v>6.0</v>
      </c>
      <c r="J10" s="4">
        <v>0.0</v>
      </c>
      <c r="K10" s="4">
        <v>4.0</v>
      </c>
      <c r="L10" s="4">
        <v>7.0</v>
      </c>
      <c r="M10" s="4">
        <v>1.0</v>
      </c>
      <c r="O10" s="3">
        <f t="shared" si="1"/>
        <v>38</v>
      </c>
      <c r="P10" s="3" t="str">
        <f>IF(O10="","",IF(O10&gt;=Setup!$B$15,"High",IF(O10&gt;=Setup!$B$16,"Medium","Low")))</f>
        <v>Low</v>
      </c>
      <c r="Q10" s="4" t="s">
        <v>45</v>
      </c>
    </row>
    <row r="11">
      <c r="A11" s="4" t="s">
        <v>68</v>
      </c>
      <c r="B11" s="4" t="s">
        <v>47</v>
      </c>
      <c r="C11" s="4" t="s">
        <v>41</v>
      </c>
      <c r="D11" s="14" t="s">
        <v>69</v>
      </c>
      <c r="F11" s="4">
        <v>15.0</v>
      </c>
      <c r="G11" s="4">
        <v>0.0</v>
      </c>
      <c r="H11" s="4">
        <v>2.0</v>
      </c>
      <c r="I11" s="4">
        <v>2.0</v>
      </c>
      <c r="J11" s="4">
        <v>0.0</v>
      </c>
      <c r="K11" s="4">
        <v>0.0</v>
      </c>
      <c r="L11" s="4">
        <v>0.0</v>
      </c>
      <c r="M11" s="4">
        <v>0.0</v>
      </c>
      <c r="O11" s="3">
        <f t="shared" si="1"/>
        <v>19</v>
      </c>
      <c r="P11" s="3" t="str">
        <f>IF(O11="","",IF(O11&gt;=Setup!$B$15,"High",IF(O11&gt;=Setup!$B$16,"Medium","Low")))</f>
        <v>Low</v>
      </c>
      <c r="Q11" s="4" t="s">
        <v>64</v>
      </c>
    </row>
    <row r="12">
      <c r="A12" s="4" t="s">
        <v>70</v>
      </c>
      <c r="B12" s="4" t="s">
        <v>71</v>
      </c>
      <c r="C12" s="4" t="s">
        <v>41</v>
      </c>
      <c r="D12" s="11" t="s">
        <v>72</v>
      </c>
      <c r="E12" s="11" t="s">
        <v>69</v>
      </c>
      <c r="F12" s="4">
        <v>15.0</v>
      </c>
      <c r="G12" s="4">
        <v>0.0</v>
      </c>
      <c r="H12" s="4">
        <v>0.0</v>
      </c>
      <c r="I12" s="4">
        <v>6.0</v>
      </c>
      <c r="J12" s="4">
        <v>0.0</v>
      </c>
      <c r="K12" s="4">
        <v>4.0</v>
      </c>
      <c r="L12" s="4">
        <v>0.0</v>
      </c>
      <c r="M12" s="4">
        <v>6.0</v>
      </c>
      <c r="O12" s="3">
        <f t="shared" si="1"/>
        <v>31</v>
      </c>
      <c r="P12" s="3" t="str">
        <f>IF(O12="","",IF(O12&gt;=Setup!$B$15,"High",IF(O12&gt;=Setup!$B$16,"Medium","Low")))</f>
        <v>Low</v>
      </c>
      <c r="Q12" s="4" t="s">
        <v>45</v>
      </c>
    </row>
    <row r="13">
      <c r="A13" s="4" t="s">
        <v>73</v>
      </c>
      <c r="B13" s="4" t="s">
        <v>74</v>
      </c>
      <c r="C13" s="4" t="s">
        <v>41</v>
      </c>
      <c r="D13" s="11" t="s">
        <v>75</v>
      </c>
      <c r="E13" s="11" t="s">
        <v>76</v>
      </c>
      <c r="F13" s="4">
        <v>20.0</v>
      </c>
      <c r="G13" s="4">
        <v>0.0</v>
      </c>
      <c r="H13" s="4">
        <v>0.0</v>
      </c>
      <c r="I13" s="4">
        <v>8.0</v>
      </c>
      <c r="J13" s="4">
        <v>8.0</v>
      </c>
      <c r="K13" s="4">
        <v>8.0</v>
      </c>
      <c r="L13" s="4">
        <v>0.0</v>
      </c>
      <c r="M13" s="4">
        <v>8.0</v>
      </c>
      <c r="O13" s="3">
        <f t="shared" si="1"/>
        <v>52</v>
      </c>
      <c r="P13" s="3" t="str">
        <f>IF(O13="","",IF(O13&gt;=Setup!$B$15,"High",IF(O13&gt;=Setup!$B$16,"Medium","Low")))</f>
        <v>High</v>
      </c>
      <c r="Q13" s="4" t="s">
        <v>45</v>
      </c>
    </row>
    <row r="14">
      <c r="A14" s="4" t="s">
        <v>77</v>
      </c>
      <c r="B14" s="4" t="s">
        <v>74</v>
      </c>
      <c r="C14" s="4" t="s">
        <v>41</v>
      </c>
      <c r="D14" s="11" t="s">
        <v>78</v>
      </c>
      <c r="E14" s="11" t="s">
        <v>79</v>
      </c>
      <c r="F14" s="4">
        <v>15.0</v>
      </c>
      <c r="G14" s="4">
        <v>0.0</v>
      </c>
      <c r="H14" s="4">
        <v>0.0</v>
      </c>
      <c r="I14" s="4">
        <v>5.0</v>
      </c>
      <c r="J14" s="4">
        <v>0.0</v>
      </c>
      <c r="K14" s="4">
        <v>5.0</v>
      </c>
      <c r="L14" s="4">
        <v>0.0</v>
      </c>
      <c r="M14" s="4">
        <v>2.0</v>
      </c>
      <c r="O14" s="3">
        <f t="shared" si="1"/>
        <v>27</v>
      </c>
      <c r="P14" s="3" t="str">
        <f>IF(O14="","",IF(O14&gt;=Setup!$B$15,"High",IF(O14&gt;=Setup!$B$16,"Medium","Low")))</f>
        <v>Low</v>
      </c>
      <c r="Q14" s="4" t="s">
        <v>45</v>
      </c>
    </row>
    <row r="15">
      <c r="A15" s="4" t="s">
        <v>80</v>
      </c>
      <c r="B15" s="4" t="s">
        <v>47</v>
      </c>
      <c r="C15" s="4" t="s">
        <v>41</v>
      </c>
      <c r="D15" s="11" t="s">
        <v>81</v>
      </c>
      <c r="E15" s="11" t="s">
        <v>82</v>
      </c>
      <c r="F15" s="4">
        <v>15.0</v>
      </c>
      <c r="G15" s="4">
        <v>0.0</v>
      </c>
      <c r="H15" s="4">
        <v>4.0</v>
      </c>
      <c r="I15" s="4">
        <v>10.0</v>
      </c>
      <c r="J15" s="4">
        <v>0.0</v>
      </c>
      <c r="K15" s="4">
        <v>9.0</v>
      </c>
      <c r="L15" s="4">
        <v>10.0</v>
      </c>
      <c r="M15" s="4">
        <v>4.0</v>
      </c>
      <c r="O15" s="3">
        <f t="shared" si="1"/>
        <v>52</v>
      </c>
      <c r="P15" s="3" t="str">
        <f>IF(O15="","",IF(O15&gt;=Setup!$B$15,"High",IF(O15&gt;=Setup!$B$16,"Medium","Low")))</f>
        <v>High</v>
      </c>
      <c r="Q15" s="4" t="s">
        <v>45</v>
      </c>
    </row>
    <row r="16">
      <c r="A16" s="4" t="s">
        <v>83</v>
      </c>
      <c r="B16" s="4" t="s">
        <v>40</v>
      </c>
      <c r="C16" s="4" t="s">
        <v>41</v>
      </c>
      <c r="D16" s="11" t="s">
        <v>84</v>
      </c>
      <c r="E16" s="11" t="s">
        <v>85</v>
      </c>
      <c r="F16" s="4">
        <v>15.0</v>
      </c>
      <c r="G16" s="4">
        <v>0.0</v>
      </c>
      <c r="H16" s="4">
        <v>8.0</v>
      </c>
      <c r="I16" s="4">
        <v>7.0</v>
      </c>
      <c r="J16" s="4">
        <v>10.0</v>
      </c>
      <c r="K16" s="4">
        <v>4.0</v>
      </c>
      <c r="L16" s="4">
        <v>0.0</v>
      </c>
      <c r="M16" s="4">
        <v>7.0</v>
      </c>
      <c r="O16" s="3">
        <f t="shared" si="1"/>
        <v>51</v>
      </c>
      <c r="P16" s="3" t="str">
        <f>IF(O16="","",IF(O16&gt;=Setup!$B$15,"High",IF(O16&gt;=Setup!$B$16,"Medium","Low")))</f>
        <v>High</v>
      </c>
      <c r="Q16" s="4" t="s">
        <v>45</v>
      </c>
    </row>
    <row r="17">
      <c r="A17" s="4" t="s">
        <v>86</v>
      </c>
      <c r="B17" s="4" t="s">
        <v>40</v>
      </c>
      <c r="C17" s="4" t="s">
        <v>41</v>
      </c>
      <c r="D17" s="11" t="s">
        <v>87</v>
      </c>
      <c r="E17" s="11" t="s">
        <v>87</v>
      </c>
      <c r="F17" s="4">
        <v>15.0</v>
      </c>
      <c r="G17" s="4">
        <v>0.0</v>
      </c>
      <c r="H17" s="4">
        <v>10.0</v>
      </c>
      <c r="I17" s="4">
        <v>8.0</v>
      </c>
      <c r="J17" s="4">
        <v>0.0</v>
      </c>
      <c r="K17" s="4">
        <v>2.0</v>
      </c>
      <c r="L17" s="4">
        <v>0.0</v>
      </c>
      <c r="M17" s="4">
        <v>2.0</v>
      </c>
      <c r="O17" s="3">
        <f t="shared" si="1"/>
        <v>37</v>
      </c>
      <c r="P17" s="3" t="str">
        <f>IF(O17="","",IF(O17&gt;=Setup!$B$15,"High",IF(O17&gt;=Setup!$B$16,"Medium","Low")))</f>
        <v>Low</v>
      </c>
      <c r="Q17" s="4" t="s">
        <v>45</v>
      </c>
    </row>
    <row r="18">
      <c r="A18" s="4" t="s">
        <v>88</v>
      </c>
      <c r="B18" s="4" t="s">
        <v>40</v>
      </c>
      <c r="C18" s="4" t="s">
        <v>41</v>
      </c>
      <c r="D18" s="11" t="s">
        <v>89</v>
      </c>
      <c r="E18" s="11" t="s">
        <v>90</v>
      </c>
      <c r="F18" s="4">
        <v>15.0</v>
      </c>
      <c r="G18" s="4">
        <v>0.0</v>
      </c>
      <c r="H18" s="4">
        <v>6.0</v>
      </c>
      <c r="I18" s="4">
        <v>4.0</v>
      </c>
      <c r="J18" s="4">
        <v>0.0</v>
      </c>
      <c r="K18" s="4">
        <v>1.0</v>
      </c>
      <c r="L18" s="4">
        <v>0.0</v>
      </c>
      <c r="M18" s="4">
        <v>2.0</v>
      </c>
      <c r="O18" s="3">
        <f t="shared" si="1"/>
        <v>28</v>
      </c>
      <c r="P18" s="3" t="str">
        <f>IF(O18="","",IF(O18&gt;=Setup!$B$15,"High",IF(O18&gt;=Setup!$B$16,"Medium","Low")))</f>
        <v>Low</v>
      </c>
      <c r="Q18" s="4" t="s">
        <v>45</v>
      </c>
    </row>
    <row r="19">
      <c r="A19" s="4" t="s">
        <v>91</v>
      </c>
      <c r="B19" s="4" t="s">
        <v>40</v>
      </c>
      <c r="C19" s="4" t="s">
        <v>41</v>
      </c>
      <c r="D19" s="11" t="s">
        <v>92</v>
      </c>
      <c r="E19" s="4" t="s">
        <v>93</v>
      </c>
      <c r="F19" s="4">
        <v>15.0</v>
      </c>
      <c r="G19" s="4">
        <v>0.0</v>
      </c>
      <c r="H19" s="4">
        <v>6.0</v>
      </c>
      <c r="I19" s="4">
        <v>4.0</v>
      </c>
      <c r="J19" s="4">
        <v>0.0</v>
      </c>
      <c r="K19" s="4">
        <v>1.0</v>
      </c>
      <c r="L19" s="4">
        <v>0.0</v>
      </c>
      <c r="M19" s="4">
        <v>3.0</v>
      </c>
      <c r="O19" s="3">
        <f t="shared" si="1"/>
        <v>29</v>
      </c>
      <c r="P19" s="3" t="str">
        <f>IF(O19="","",IF(O19&gt;=Setup!$B$15,"High",IF(O19&gt;=Setup!$B$16,"Medium","Low")))</f>
        <v>Low</v>
      </c>
      <c r="Q19" s="4" t="s">
        <v>45</v>
      </c>
    </row>
    <row r="20">
      <c r="A20" s="4" t="s">
        <v>94</v>
      </c>
      <c r="B20" s="4" t="s">
        <v>40</v>
      </c>
      <c r="C20" s="4" t="s">
        <v>41</v>
      </c>
      <c r="D20" s="11" t="s">
        <v>95</v>
      </c>
      <c r="E20" s="11" t="s">
        <v>96</v>
      </c>
      <c r="F20" s="4">
        <v>15.0</v>
      </c>
      <c r="G20" s="4">
        <v>20.0</v>
      </c>
      <c r="H20" s="4">
        <v>7.0</v>
      </c>
      <c r="I20" s="4">
        <v>8.0</v>
      </c>
      <c r="J20" s="4">
        <v>0.0</v>
      </c>
      <c r="K20" s="4">
        <v>2.0</v>
      </c>
      <c r="L20" s="4">
        <v>0.0</v>
      </c>
      <c r="M20" s="4">
        <v>7.0</v>
      </c>
      <c r="O20" s="3">
        <f t="shared" si="1"/>
        <v>59</v>
      </c>
      <c r="P20" s="3" t="str">
        <f>IF(O20="","",IF(O20&gt;=Setup!$B$15,"High",IF(O20&gt;=Setup!$B$16,"Medium","Low")))</f>
        <v>High</v>
      </c>
      <c r="Q20" s="4" t="s">
        <v>45</v>
      </c>
    </row>
    <row r="21" ht="15.75" customHeight="1">
      <c r="A21" s="4" t="s">
        <v>97</v>
      </c>
      <c r="B21" s="4" t="s">
        <v>40</v>
      </c>
      <c r="C21" s="4" t="s">
        <v>41</v>
      </c>
      <c r="D21" s="11" t="s">
        <v>98</v>
      </c>
      <c r="E21" s="11" t="s">
        <v>99</v>
      </c>
      <c r="F21" s="4">
        <v>15.0</v>
      </c>
      <c r="G21" s="4">
        <v>0.0</v>
      </c>
      <c r="H21" s="4">
        <v>3.0</v>
      </c>
      <c r="I21" s="4">
        <v>8.0</v>
      </c>
      <c r="J21" s="4">
        <v>10.0</v>
      </c>
      <c r="K21" s="4">
        <v>8.0</v>
      </c>
      <c r="L21" s="4">
        <v>0.0</v>
      </c>
      <c r="M21" s="4">
        <v>6.0</v>
      </c>
      <c r="O21" s="3">
        <f t="shared" si="1"/>
        <v>50</v>
      </c>
      <c r="P21" s="3" t="str">
        <f>IF(O21="","",IF(O21&gt;=Setup!$B$15,"High",IF(O21&gt;=Setup!$B$16,"Medium","Low")))</f>
        <v>High</v>
      </c>
      <c r="Q21" s="4" t="s">
        <v>45</v>
      </c>
    </row>
    <row r="22" ht="15.75" customHeight="1">
      <c r="A22" s="4" t="s">
        <v>100</v>
      </c>
      <c r="B22" s="4" t="s">
        <v>40</v>
      </c>
      <c r="C22" s="4" t="s">
        <v>41</v>
      </c>
      <c r="D22" s="11" t="s">
        <v>101</v>
      </c>
      <c r="E22" s="11" t="s">
        <v>102</v>
      </c>
      <c r="F22" s="4">
        <v>20.0</v>
      </c>
      <c r="G22" s="4">
        <v>20.0</v>
      </c>
      <c r="H22" s="4">
        <v>4.0</v>
      </c>
      <c r="I22" s="4">
        <v>8.0</v>
      </c>
      <c r="J22" s="4">
        <v>0.0</v>
      </c>
      <c r="K22" s="4">
        <v>2.0</v>
      </c>
      <c r="L22" s="4">
        <v>0.0</v>
      </c>
      <c r="M22" s="4">
        <v>10.0</v>
      </c>
      <c r="O22" s="3">
        <f t="shared" si="1"/>
        <v>64</v>
      </c>
      <c r="P22" s="3" t="str">
        <f>IF(O22="","",IF(O22&gt;=Setup!$B$15,"High",IF(O22&gt;=Setup!$B$16,"Medium","Low")))</f>
        <v>High</v>
      </c>
      <c r="Q22" s="4" t="s">
        <v>45</v>
      </c>
    </row>
    <row r="23" ht="15.75" customHeight="1">
      <c r="A23" s="4" t="s">
        <v>103</v>
      </c>
      <c r="B23" s="4" t="s">
        <v>40</v>
      </c>
      <c r="C23" s="4" t="s">
        <v>41</v>
      </c>
      <c r="D23" s="11" t="s">
        <v>104</v>
      </c>
      <c r="E23" s="11" t="s">
        <v>105</v>
      </c>
      <c r="F23" s="4">
        <v>15.0</v>
      </c>
      <c r="G23" s="4">
        <v>0.0</v>
      </c>
      <c r="H23" s="4">
        <v>0.0</v>
      </c>
      <c r="I23" s="4">
        <v>2.0</v>
      </c>
      <c r="J23" s="4">
        <v>0.0</v>
      </c>
      <c r="K23" s="4">
        <v>1.0</v>
      </c>
      <c r="L23" s="4">
        <v>0.0</v>
      </c>
      <c r="M23" s="4">
        <v>1.0</v>
      </c>
      <c r="O23" s="3">
        <f t="shared" si="1"/>
        <v>19</v>
      </c>
      <c r="P23" s="3" t="str">
        <f>IF(O23="","",IF(O23&gt;=Setup!$B$15,"High",IF(O23&gt;=Setup!$B$16,"Medium","Low")))</f>
        <v>Low</v>
      </c>
      <c r="Q23" s="4" t="s">
        <v>45</v>
      </c>
    </row>
    <row r="24" ht="15.75" customHeight="1">
      <c r="A24" s="4" t="s">
        <v>106</v>
      </c>
      <c r="B24" s="4" t="s">
        <v>74</v>
      </c>
      <c r="C24" s="4" t="s">
        <v>41</v>
      </c>
      <c r="D24" s="11" t="s">
        <v>107</v>
      </c>
      <c r="E24" s="11" t="s">
        <v>108</v>
      </c>
      <c r="F24" s="4">
        <v>15.0</v>
      </c>
      <c r="G24" s="4">
        <v>20.0</v>
      </c>
      <c r="H24" s="4">
        <v>3.0</v>
      </c>
      <c r="I24" s="4">
        <v>3.0</v>
      </c>
      <c r="J24" s="4">
        <v>0.0</v>
      </c>
      <c r="K24" s="4">
        <v>1.0</v>
      </c>
      <c r="L24" s="4">
        <v>0.0</v>
      </c>
      <c r="M24" s="4">
        <v>3.0</v>
      </c>
      <c r="O24" s="3">
        <f t="shared" si="1"/>
        <v>45</v>
      </c>
      <c r="P24" s="3" t="str">
        <f>IF(O24="","",IF(O24&gt;=Setup!$B$15,"High",IF(O24&gt;=Setup!$B$16,"Medium","Low")))</f>
        <v>Medium</v>
      </c>
      <c r="Q24" s="4" t="s">
        <v>45</v>
      </c>
    </row>
    <row r="25" ht="15.75" customHeight="1">
      <c r="A25" s="4" t="s">
        <v>109</v>
      </c>
      <c r="B25" s="4" t="s">
        <v>110</v>
      </c>
      <c r="C25" s="4" t="s">
        <v>41</v>
      </c>
      <c r="D25" s="11" t="s">
        <v>111</v>
      </c>
      <c r="E25" s="11" t="s">
        <v>111</v>
      </c>
      <c r="F25" s="4">
        <v>20.0</v>
      </c>
      <c r="G25" s="4">
        <v>2.0</v>
      </c>
      <c r="H25" s="4">
        <v>1.0</v>
      </c>
      <c r="I25" s="4">
        <v>5.0</v>
      </c>
      <c r="J25" s="4">
        <v>10.0</v>
      </c>
      <c r="K25" s="4">
        <v>6.0</v>
      </c>
      <c r="L25" s="4">
        <v>0.0</v>
      </c>
      <c r="M25" s="4">
        <v>7.0</v>
      </c>
      <c r="O25" s="3">
        <f t="shared" si="1"/>
        <v>51</v>
      </c>
      <c r="P25" s="3" t="str">
        <f>IF(O25="","",IF(O25&gt;=Setup!$B$15,"High",IF(O25&gt;=Setup!$B$16,"Medium","Low")))</f>
        <v>High</v>
      </c>
      <c r="Q25" s="4" t="s">
        <v>45</v>
      </c>
    </row>
    <row r="26" ht="15.75" customHeight="1">
      <c r="B26" s="3"/>
      <c r="F26" s="3"/>
      <c r="G26" s="3"/>
      <c r="H26" s="3"/>
      <c r="I26" s="3"/>
      <c r="J26" s="3"/>
      <c r="K26" s="3"/>
      <c r="L26" s="3"/>
      <c r="M26" s="3"/>
      <c r="O26" s="3">
        <f t="shared" si="1"/>
        <v>0</v>
      </c>
      <c r="P26" s="3" t="str">
        <f>IF(O26="","",IF(O26&gt;=Setup!$B$15,"High",IF(O26&gt;=Setup!$B$16,"Medium","Low")))</f>
        <v>Low</v>
      </c>
      <c r="Q26" s="3"/>
    </row>
    <row r="27" ht="15.75" customHeight="1">
      <c r="B27" s="3"/>
      <c r="F27" s="3"/>
      <c r="G27" s="3"/>
      <c r="H27" s="3"/>
      <c r="I27" s="3"/>
      <c r="J27" s="3"/>
      <c r="K27" s="3"/>
      <c r="L27" s="3"/>
      <c r="M27" s="3"/>
      <c r="O27" s="3">
        <f t="shared" si="1"/>
        <v>0</v>
      </c>
      <c r="P27" s="3" t="str">
        <f>IF(O27="","",IF(O27&gt;=Setup!$B$15,"High",IF(O27&gt;=Setup!$B$16,"Medium","Low")))</f>
        <v>Low</v>
      </c>
      <c r="Q27" s="3"/>
    </row>
    <row r="28" ht="15.75" customHeight="1">
      <c r="B28" s="3"/>
      <c r="F28" s="3"/>
      <c r="G28" s="3"/>
      <c r="H28" s="3"/>
      <c r="I28" s="3"/>
      <c r="J28" s="3"/>
      <c r="K28" s="3"/>
      <c r="L28" s="3"/>
      <c r="M28" s="3"/>
      <c r="O28" s="3">
        <f t="shared" si="1"/>
        <v>0</v>
      </c>
      <c r="P28" s="3" t="str">
        <f>IF(O28="","",IF(O28&gt;=Setup!$B$15,"High",IF(O28&gt;=Setup!$B$16,"Medium","Low")))</f>
        <v>Low</v>
      </c>
      <c r="Q28" s="3"/>
    </row>
    <row r="29" ht="15.75" customHeight="1">
      <c r="B29" s="3"/>
      <c r="F29" s="3"/>
      <c r="G29" s="3"/>
      <c r="H29" s="3"/>
      <c r="I29" s="3"/>
      <c r="J29" s="3"/>
      <c r="K29" s="3"/>
      <c r="L29" s="3"/>
      <c r="M29" s="3"/>
      <c r="O29" s="3">
        <f t="shared" si="1"/>
        <v>0</v>
      </c>
      <c r="P29" s="3" t="str">
        <f>IF(O29="","",IF(O29&gt;=Setup!$B$15,"High",IF(O29&gt;=Setup!$B$16,"Medium","Low")))</f>
        <v>Low</v>
      </c>
      <c r="Q29" s="3"/>
    </row>
    <row r="30" ht="15.75" customHeight="1">
      <c r="B30" s="3"/>
      <c r="F30" s="3"/>
      <c r="G30" s="3"/>
      <c r="H30" s="3"/>
      <c r="I30" s="3"/>
      <c r="J30" s="3"/>
      <c r="K30" s="3"/>
      <c r="L30" s="3"/>
      <c r="M30" s="3"/>
      <c r="O30" s="3">
        <f t="shared" si="1"/>
        <v>0</v>
      </c>
      <c r="P30" s="3" t="str">
        <f>IF(O30="","",IF(O30&gt;=Setup!$B$15,"High",IF(O30&gt;=Setup!$B$16,"Medium","Low")))</f>
        <v>Low</v>
      </c>
      <c r="Q30" s="3"/>
    </row>
    <row r="31" ht="15.75" customHeight="1">
      <c r="B31" s="3"/>
      <c r="F31" s="3"/>
      <c r="G31" s="3"/>
      <c r="H31" s="3"/>
      <c r="I31" s="3"/>
      <c r="J31" s="3"/>
      <c r="K31" s="3"/>
      <c r="L31" s="3"/>
      <c r="M31" s="3"/>
      <c r="O31" s="3">
        <f t="shared" si="1"/>
        <v>0</v>
      </c>
      <c r="P31" s="3" t="str">
        <f>IF(O31="","",IF(O31&gt;=Setup!$B$15,"High",IF(O31&gt;=Setup!$B$16,"Medium","Low")))</f>
        <v>Low</v>
      </c>
      <c r="Q31" s="3"/>
    </row>
    <row r="32" ht="15.75" customHeight="1">
      <c r="B32" s="3"/>
      <c r="F32" s="3"/>
      <c r="G32" s="3"/>
      <c r="H32" s="3"/>
      <c r="I32" s="3"/>
      <c r="J32" s="3"/>
      <c r="K32" s="3"/>
      <c r="L32" s="3"/>
      <c r="M32" s="3"/>
      <c r="O32" s="3">
        <f t="shared" si="1"/>
        <v>0</v>
      </c>
      <c r="P32" s="3" t="str">
        <f>IF(O32="","",IF(O32&gt;=Setup!$B$15,"High",IF(O32&gt;=Setup!$B$16,"Medium","Low")))</f>
        <v>Low</v>
      </c>
      <c r="Q32" s="3"/>
    </row>
    <row r="33" ht="15.75" customHeight="1">
      <c r="B33" s="3"/>
      <c r="F33" s="3"/>
      <c r="G33" s="3"/>
      <c r="H33" s="3"/>
      <c r="I33" s="3"/>
      <c r="J33" s="3"/>
      <c r="K33" s="3"/>
      <c r="L33" s="3"/>
      <c r="M33" s="3"/>
      <c r="O33" s="3">
        <f t="shared" si="1"/>
        <v>0</v>
      </c>
      <c r="P33" s="3" t="str">
        <f>IF(O33="","",IF(O33&gt;=Setup!$B$15,"High",IF(O33&gt;=Setup!$B$16,"Medium","Low")))</f>
        <v>Low</v>
      </c>
      <c r="Q33" s="3"/>
    </row>
    <row r="34" ht="15.75" customHeight="1">
      <c r="B34" s="3"/>
      <c r="F34" s="3"/>
      <c r="G34" s="3"/>
      <c r="H34" s="3"/>
      <c r="I34" s="3"/>
      <c r="J34" s="3"/>
      <c r="K34" s="3"/>
      <c r="L34" s="3"/>
      <c r="M34" s="3"/>
      <c r="O34" s="3">
        <f t="shared" si="1"/>
        <v>0</v>
      </c>
      <c r="P34" s="3" t="str">
        <f>IF(O34="","",IF(O34&gt;=Setup!$B$15,"High",IF(O34&gt;=Setup!$B$16,"Medium","Low")))</f>
        <v>Low</v>
      </c>
      <c r="Q34" s="3"/>
    </row>
    <row r="35" ht="15.75" customHeight="1">
      <c r="B35" s="3"/>
      <c r="F35" s="3"/>
      <c r="G35" s="3"/>
      <c r="H35" s="3"/>
      <c r="I35" s="3"/>
      <c r="J35" s="3"/>
      <c r="K35" s="3"/>
      <c r="L35" s="3"/>
      <c r="M35" s="3"/>
      <c r="O35" s="3">
        <f t="shared" si="1"/>
        <v>0</v>
      </c>
      <c r="P35" s="3" t="str">
        <f>IF(O35="","",IF(O35&gt;=Setup!$B$15,"High",IF(O35&gt;=Setup!$B$16,"Medium","Low")))</f>
        <v>Low</v>
      </c>
      <c r="Q35" s="3"/>
    </row>
    <row r="36" ht="15.75" customHeight="1">
      <c r="B36" s="3"/>
      <c r="F36" s="3"/>
      <c r="G36" s="3"/>
      <c r="H36" s="3"/>
      <c r="I36" s="3"/>
      <c r="J36" s="3"/>
      <c r="K36" s="3"/>
      <c r="L36" s="3"/>
      <c r="M36" s="3"/>
      <c r="O36" s="3">
        <f t="shared" si="1"/>
        <v>0</v>
      </c>
      <c r="P36" s="3" t="str">
        <f>IF(O36="","",IF(O36&gt;=Setup!$B$15,"High",IF(O36&gt;=Setup!$B$16,"Medium","Low")))</f>
        <v>Low</v>
      </c>
      <c r="Q36" s="3"/>
    </row>
    <row r="37" ht="15.75" customHeight="1">
      <c r="B37" s="3"/>
      <c r="F37" s="3"/>
      <c r="G37" s="3"/>
      <c r="H37" s="3"/>
      <c r="I37" s="3"/>
      <c r="J37" s="3"/>
      <c r="K37" s="3"/>
      <c r="L37" s="3"/>
      <c r="M37" s="3"/>
      <c r="O37" s="3">
        <f t="shared" si="1"/>
        <v>0</v>
      </c>
      <c r="P37" s="3" t="str">
        <f>IF(O37="","",IF(O37&gt;=Setup!$B$15,"High",IF(O37&gt;=Setup!$B$16,"Medium","Low")))</f>
        <v>Low</v>
      </c>
      <c r="Q37" s="3"/>
    </row>
    <row r="38" ht="15.75" customHeight="1">
      <c r="B38" s="3"/>
      <c r="F38" s="3"/>
      <c r="G38" s="3"/>
      <c r="H38" s="3"/>
      <c r="I38" s="3"/>
      <c r="J38" s="3"/>
      <c r="K38" s="3"/>
      <c r="L38" s="3"/>
      <c r="M38" s="3"/>
      <c r="O38" s="3">
        <f t="shared" si="1"/>
        <v>0</v>
      </c>
      <c r="P38" s="3" t="str">
        <f>IF(O38="","",IF(O38&gt;=Setup!$B$15,"High",IF(O38&gt;=Setup!$B$16,"Medium","Low")))</f>
        <v>Low</v>
      </c>
      <c r="Q38" s="3"/>
    </row>
    <row r="39" ht="15.75" customHeight="1">
      <c r="B39" s="3"/>
      <c r="F39" s="3"/>
      <c r="G39" s="3"/>
      <c r="H39" s="3"/>
      <c r="I39" s="3"/>
      <c r="J39" s="3"/>
      <c r="K39" s="3"/>
      <c r="L39" s="3"/>
      <c r="M39" s="3"/>
      <c r="O39" s="3">
        <f t="shared" si="1"/>
        <v>0</v>
      </c>
      <c r="P39" s="3" t="str">
        <f>IF(O39="","",IF(O39&gt;=Setup!$B$15,"High",IF(O39&gt;=Setup!$B$16,"Medium","Low")))</f>
        <v>Low</v>
      </c>
      <c r="Q39" s="3"/>
    </row>
    <row r="40" ht="15.75" customHeight="1">
      <c r="B40" s="3"/>
      <c r="F40" s="3"/>
      <c r="G40" s="3"/>
      <c r="H40" s="3"/>
      <c r="I40" s="3"/>
      <c r="J40" s="3"/>
      <c r="K40" s="3"/>
      <c r="L40" s="3"/>
      <c r="M40" s="3"/>
      <c r="O40" s="3">
        <f t="shared" si="1"/>
        <v>0</v>
      </c>
      <c r="P40" s="3" t="str">
        <f>IF(O40="","",IF(O40&gt;=Setup!$B$15,"High",IF(O40&gt;=Setup!$B$16,"Medium","Low")))</f>
        <v>Low</v>
      </c>
      <c r="Q40" s="3"/>
    </row>
    <row r="41" ht="15.75" customHeight="1">
      <c r="B41" s="3"/>
      <c r="F41" s="3"/>
      <c r="G41" s="3"/>
      <c r="H41" s="3"/>
      <c r="I41" s="3"/>
      <c r="J41" s="3"/>
      <c r="K41" s="3"/>
      <c r="L41" s="3"/>
      <c r="M41" s="3"/>
      <c r="O41" s="3">
        <f t="shared" si="1"/>
        <v>0</v>
      </c>
      <c r="P41" s="3" t="str">
        <f>IF(O41="","",IF(O41&gt;=Setup!$B$15,"High",IF(O41&gt;=Setup!$B$16,"Medium","Low")))</f>
        <v>Low</v>
      </c>
      <c r="Q41" s="3"/>
    </row>
    <row r="42" ht="15.75" customHeight="1">
      <c r="B42" s="3"/>
      <c r="F42" s="3"/>
      <c r="G42" s="3"/>
      <c r="H42" s="3"/>
      <c r="I42" s="3"/>
      <c r="J42" s="3"/>
      <c r="K42" s="3"/>
      <c r="L42" s="3"/>
      <c r="M42" s="3"/>
      <c r="O42" s="3">
        <f t="shared" si="1"/>
        <v>0</v>
      </c>
      <c r="P42" s="3" t="str">
        <f>IF(O42="","",IF(O42&gt;=Setup!$B$15,"High",IF(O42&gt;=Setup!$B$16,"Medium","Low")))</f>
        <v>Low</v>
      </c>
      <c r="Q42" s="3"/>
    </row>
    <row r="43" ht="15.75" customHeight="1">
      <c r="B43" s="3"/>
      <c r="F43" s="3"/>
      <c r="G43" s="3"/>
      <c r="H43" s="3"/>
      <c r="I43" s="3"/>
      <c r="J43" s="3"/>
      <c r="K43" s="3"/>
      <c r="L43" s="3"/>
      <c r="M43" s="3"/>
      <c r="O43" s="3">
        <f t="shared" si="1"/>
        <v>0</v>
      </c>
      <c r="P43" s="3" t="str">
        <f>IF(O43="","",IF(O43&gt;=Setup!$B$15,"High",IF(O43&gt;=Setup!$B$16,"Medium","Low")))</f>
        <v>Low</v>
      </c>
      <c r="Q43" s="3"/>
    </row>
    <row r="44" ht="15.75" customHeight="1">
      <c r="B44" s="3"/>
      <c r="F44" s="3"/>
      <c r="G44" s="3"/>
      <c r="H44" s="3"/>
      <c r="I44" s="3"/>
      <c r="J44" s="3"/>
      <c r="K44" s="3"/>
      <c r="L44" s="3"/>
      <c r="M44" s="3"/>
      <c r="O44" s="3">
        <f t="shared" si="1"/>
        <v>0</v>
      </c>
      <c r="P44" s="3" t="str">
        <f>IF(O44="","",IF(O44&gt;=Setup!$B$15,"High",IF(O44&gt;=Setup!$B$16,"Medium","Low")))</f>
        <v>Low</v>
      </c>
      <c r="Q44" s="3"/>
    </row>
    <row r="45" ht="15.75" customHeight="1">
      <c r="B45" s="3"/>
      <c r="F45" s="3"/>
      <c r="G45" s="3"/>
      <c r="H45" s="3"/>
      <c r="I45" s="3"/>
      <c r="J45" s="3"/>
      <c r="K45" s="3"/>
      <c r="L45" s="3"/>
      <c r="M45" s="3"/>
      <c r="O45" s="3">
        <f t="shared" si="1"/>
        <v>0</v>
      </c>
      <c r="P45" s="3" t="str">
        <f>IF(O45="","",IF(O45&gt;=Setup!$B$15,"High",IF(O45&gt;=Setup!$B$16,"Medium","Low")))</f>
        <v>Low</v>
      </c>
      <c r="Q45" s="3"/>
    </row>
    <row r="46" ht="15.75" customHeight="1">
      <c r="B46" s="3"/>
      <c r="F46" s="3"/>
      <c r="G46" s="3"/>
      <c r="H46" s="3"/>
      <c r="I46" s="3"/>
      <c r="J46" s="3"/>
      <c r="K46" s="3"/>
      <c r="L46" s="3"/>
      <c r="M46" s="3"/>
      <c r="O46" s="3">
        <f t="shared" si="1"/>
        <v>0</v>
      </c>
      <c r="P46" s="3" t="str">
        <f>IF(O46="","",IF(O46&gt;=Setup!$B$15,"High",IF(O46&gt;=Setup!$B$16,"Medium","Low")))</f>
        <v>Low</v>
      </c>
      <c r="Q46" s="3"/>
    </row>
    <row r="47" ht="15.75" customHeight="1">
      <c r="B47" s="3"/>
      <c r="F47" s="3"/>
      <c r="G47" s="3"/>
      <c r="H47" s="3"/>
      <c r="I47" s="3"/>
      <c r="J47" s="3"/>
      <c r="K47" s="3"/>
      <c r="L47" s="3"/>
      <c r="M47" s="3"/>
      <c r="O47" s="3">
        <f t="shared" si="1"/>
        <v>0</v>
      </c>
      <c r="P47" s="3" t="str">
        <f>IF(O47="","",IF(O47&gt;=Setup!$B$15,"High",IF(O47&gt;=Setup!$B$16,"Medium","Low")))</f>
        <v>Low</v>
      </c>
      <c r="Q47" s="3"/>
    </row>
    <row r="48" ht="15.75" customHeight="1">
      <c r="B48" s="3"/>
      <c r="F48" s="3"/>
      <c r="G48" s="3"/>
      <c r="H48" s="3"/>
      <c r="I48" s="3"/>
      <c r="J48" s="3"/>
      <c r="K48" s="3"/>
      <c r="L48" s="3"/>
      <c r="M48" s="3"/>
      <c r="O48" s="3">
        <f t="shared" si="1"/>
        <v>0</v>
      </c>
      <c r="P48" s="3" t="str">
        <f>IF(O48="","",IF(O48&gt;=Setup!$B$15,"High",IF(O48&gt;=Setup!$B$16,"Medium","Low")))</f>
        <v>Low</v>
      </c>
      <c r="Q48" s="3"/>
    </row>
    <row r="49" ht="15.75" customHeight="1">
      <c r="B49" s="3"/>
      <c r="F49" s="3"/>
      <c r="G49" s="3"/>
      <c r="H49" s="3"/>
      <c r="I49" s="3"/>
      <c r="J49" s="3"/>
      <c r="K49" s="3"/>
      <c r="L49" s="3"/>
      <c r="M49" s="3"/>
      <c r="O49" s="3">
        <f t="shared" si="1"/>
        <v>0</v>
      </c>
      <c r="P49" s="3" t="str">
        <f>IF(O49="","",IF(O49&gt;=Setup!$B$15,"High",IF(O49&gt;=Setup!$B$16,"Medium","Low")))</f>
        <v>Low</v>
      </c>
      <c r="Q49" s="3"/>
    </row>
    <row r="50" ht="15.75" customHeight="1">
      <c r="B50" s="3"/>
      <c r="F50" s="3"/>
      <c r="G50" s="3"/>
      <c r="H50" s="3"/>
      <c r="I50" s="3"/>
      <c r="J50" s="3"/>
      <c r="K50" s="3"/>
      <c r="L50" s="3"/>
      <c r="M50" s="3"/>
      <c r="O50" s="3">
        <f t="shared" si="1"/>
        <v>0</v>
      </c>
      <c r="P50" s="3" t="str">
        <f>IF(O50="","",IF(O50&gt;=Setup!$B$15,"High",IF(O50&gt;=Setup!$B$16,"Medium","Low")))</f>
        <v>Low</v>
      </c>
      <c r="Q50" s="3"/>
    </row>
    <row r="51" ht="15.75" customHeight="1">
      <c r="B51" s="3"/>
      <c r="F51" s="3"/>
      <c r="G51" s="3"/>
      <c r="H51" s="3"/>
      <c r="I51" s="3"/>
      <c r="J51" s="3"/>
      <c r="K51" s="3"/>
      <c r="L51" s="3"/>
      <c r="M51" s="3"/>
      <c r="O51" s="3">
        <f t="shared" si="1"/>
        <v>0</v>
      </c>
      <c r="P51" s="3" t="str">
        <f>IF(O51="","",IF(O51&gt;=Setup!$B$15,"High",IF(O51&gt;=Setup!$B$16,"Medium","Low")))</f>
        <v>Low</v>
      </c>
      <c r="Q51" s="3"/>
    </row>
    <row r="52" ht="15.75" customHeight="1">
      <c r="B52" s="3"/>
      <c r="F52" s="3"/>
      <c r="G52" s="3"/>
      <c r="H52" s="3"/>
      <c r="I52" s="3"/>
      <c r="J52" s="3"/>
      <c r="K52" s="3"/>
      <c r="L52" s="3"/>
      <c r="M52" s="3"/>
      <c r="O52" s="3">
        <f t="shared" si="1"/>
        <v>0</v>
      </c>
      <c r="P52" s="3" t="str">
        <f>IF(O52="","",IF(O52&gt;=Setup!$B$15,"High",IF(O52&gt;=Setup!$B$16,"Medium","Low")))</f>
        <v>Low</v>
      </c>
      <c r="Q52" s="3"/>
    </row>
    <row r="53" ht="15.75" customHeight="1">
      <c r="B53" s="3"/>
      <c r="F53" s="3"/>
      <c r="G53" s="3"/>
      <c r="H53" s="3"/>
      <c r="I53" s="3"/>
      <c r="J53" s="3"/>
      <c r="K53" s="3"/>
      <c r="L53" s="3"/>
      <c r="M53" s="3"/>
      <c r="O53" s="3">
        <f t="shared" si="1"/>
        <v>0</v>
      </c>
      <c r="P53" s="3" t="str">
        <f>IF(O53="","",IF(O53&gt;=Setup!$B$15,"High",IF(O53&gt;=Setup!$B$16,"Medium","Low")))</f>
        <v>Low</v>
      </c>
      <c r="Q53" s="3"/>
    </row>
    <row r="54" ht="15.75" customHeight="1">
      <c r="B54" s="3"/>
      <c r="F54" s="3"/>
      <c r="G54" s="3"/>
      <c r="H54" s="3"/>
      <c r="I54" s="3"/>
      <c r="J54" s="3"/>
      <c r="K54" s="3"/>
      <c r="L54" s="3"/>
      <c r="M54" s="3"/>
      <c r="O54" s="3">
        <f t="shared" si="1"/>
        <v>0</v>
      </c>
      <c r="P54" s="3" t="str">
        <f>IF(O54="","",IF(O54&gt;=Setup!$B$15,"High",IF(O54&gt;=Setup!$B$16,"Medium","Low")))</f>
        <v>Low</v>
      </c>
      <c r="Q54" s="3"/>
    </row>
    <row r="55" ht="15.75" customHeight="1">
      <c r="B55" s="3"/>
      <c r="F55" s="3"/>
      <c r="G55" s="3"/>
      <c r="H55" s="3"/>
      <c r="I55" s="3"/>
      <c r="J55" s="3"/>
      <c r="K55" s="3"/>
      <c r="L55" s="3"/>
      <c r="M55" s="3"/>
      <c r="O55" s="3">
        <f t="shared" si="1"/>
        <v>0</v>
      </c>
      <c r="P55" s="3" t="str">
        <f>IF(O55="","",IF(O55&gt;=Setup!$B$15,"High",IF(O55&gt;=Setup!$B$16,"Medium","Low")))</f>
        <v>Low</v>
      </c>
      <c r="Q55" s="3"/>
    </row>
    <row r="56" ht="15.75" customHeight="1">
      <c r="B56" s="3"/>
      <c r="F56" s="3"/>
      <c r="G56" s="3"/>
      <c r="H56" s="3"/>
      <c r="I56" s="3"/>
      <c r="J56" s="3"/>
      <c r="K56" s="3"/>
      <c r="L56" s="3"/>
      <c r="M56" s="3"/>
      <c r="O56" s="3">
        <f t="shared" si="1"/>
        <v>0</v>
      </c>
      <c r="P56" s="3" t="str">
        <f>IF(O56="","",IF(O56&gt;=Setup!$B$15,"High",IF(O56&gt;=Setup!$B$16,"Medium","Low")))</f>
        <v>Low</v>
      </c>
      <c r="Q56" s="3"/>
    </row>
    <row r="57" ht="15.75" customHeight="1">
      <c r="B57" s="3"/>
      <c r="F57" s="3"/>
      <c r="G57" s="3"/>
      <c r="H57" s="3"/>
      <c r="I57" s="3"/>
      <c r="J57" s="3"/>
      <c r="K57" s="3"/>
      <c r="L57" s="3"/>
      <c r="M57" s="3"/>
      <c r="O57" s="3">
        <f t="shared" si="1"/>
        <v>0</v>
      </c>
      <c r="P57" s="3" t="str">
        <f>IF(O57="","",IF(O57&gt;=Setup!$B$15,"High",IF(O57&gt;=Setup!$B$16,"Medium","Low")))</f>
        <v>Low</v>
      </c>
      <c r="Q57" s="3"/>
    </row>
    <row r="58" ht="15.75" customHeight="1">
      <c r="B58" s="3"/>
      <c r="F58" s="3"/>
      <c r="G58" s="3"/>
      <c r="H58" s="3"/>
      <c r="I58" s="3"/>
      <c r="J58" s="3"/>
      <c r="K58" s="3"/>
      <c r="L58" s="3"/>
      <c r="M58" s="3"/>
      <c r="O58" s="3">
        <f t="shared" si="1"/>
        <v>0</v>
      </c>
      <c r="P58" s="3" t="str">
        <f>IF(O58="","",IF(O58&gt;=Setup!$B$15,"High",IF(O58&gt;=Setup!$B$16,"Medium","Low")))</f>
        <v>Low</v>
      </c>
      <c r="Q58" s="3"/>
    </row>
    <row r="59" ht="15.75" customHeight="1">
      <c r="B59" s="3"/>
      <c r="F59" s="3"/>
      <c r="G59" s="3"/>
      <c r="H59" s="3"/>
      <c r="I59" s="3"/>
      <c r="J59" s="3"/>
      <c r="K59" s="3"/>
      <c r="L59" s="3"/>
      <c r="M59" s="3"/>
      <c r="O59" s="3">
        <f t="shared" si="1"/>
        <v>0</v>
      </c>
      <c r="P59" s="3" t="str">
        <f>IF(O59="","",IF(O59&gt;=Setup!$B$15,"High",IF(O59&gt;=Setup!$B$16,"Medium","Low")))</f>
        <v>Low</v>
      </c>
      <c r="Q59" s="3"/>
    </row>
    <row r="60" ht="15.75" customHeight="1">
      <c r="B60" s="3"/>
      <c r="F60" s="3"/>
      <c r="G60" s="3"/>
      <c r="H60" s="3"/>
      <c r="I60" s="3"/>
      <c r="J60" s="3"/>
      <c r="K60" s="3"/>
      <c r="L60" s="3"/>
      <c r="M60" s="3"/>
      <c r="O60" s="3">
        <f t="shared" si="1"/>
        <v>0</v>
      </c>
      <c r="P60" s="3" t="str">
        <f>IF(O60="","",IF(O60&gt;=Setup!$B$15,"High",IF(O60&gt;=Setup!$B$16,"Medium","Low")))</f>
        <v>Low</v>
      </c>
      <c r="Q60" s="3"/>
    </row>
    <row r="61" ht="15.75" customHeight="1">
      <c r="B61" s="3"/>
      <c r="F61" s="3"/>
      <c r="G61" s="3"/>
      <c r="H61" s="3"/>
      <c r="I61" s="3"/>
      <c r="J61" s="3"/>
      <c r="K61" s="3"/>
      <c r="L61" s="3"/>
      <c r="M61" s="3"/>
      <c r="O61" s="3">
        <f t="shared" si="1"/>
        <v>0</v>
      </c>
      <c r="P61" s="3" t="str">
        <f>IF(O61="","",IF(O61&gt;=Setup!$B$15,"High",IF(O61&gt;=Setup!$B$16,"Medium","Low")))</f>
        <v>Low</v>
      </c>
      <c r="Q61" s="3"/>
    </row>
    <row r="62" ht="15.75" customHeight="1">
      <c r="B62" s="3"/>
      <c r="F62" s="3"/>
      <c r="G62" s="3"/>
      <c r="H62" s="3"/>
      <c r="I62" s="3"/>
      <c r="J62" s="3"/>
      <c r="K62" s="3"/>
      <c r="L62" s="3"/>
      <c r="M62" s="3"/>
      <c r="O62" s="3">
        <f t="shared" si="1"/>
        <v>0</v>
      </c>
      <c r="P62" s="3" t="str">
        <f>IF(O62="","",IF(O62&gt;=Setup!$B$15,"High",IF(O62&gt;=Setup!$B$16,"Medium","Low")))</f>
        <v>Low</v>
      </c>
      <c r="Q62" s="3"/>
    </row>
    <row r="63" ht="15.75" customHeight="1">
      <c r="B63" s="3"/>
      <c r="F63" s="3"/>
      <c r="G63" s="3"/>
      <c r="H63" s="3"/>
      <c r="I63" s="3"/>
      <c r="J63" s="3"/>
      <c r="K63" s="3"/>
      <c r="L63" s="3"/>
      <c r="M63" s="3"/>
      <c r="O63" s="3">
        <f t="shared" si="1"/>
        <v>0</v>
      </c>
      <c r="P63" s="3" t="str">
        <f>IF(O63="","",IF(O63&gt;=Setup!$B$15,"High",IF(O63&gt;=Setup!$B$16,"Medium","Low")))</f>
        <v>Low</v>
      </c>
      <c r="Q63" s="3"/>
    </row>
    <row r="64" ht="15.75" customHeight="1">
      <c r="B64" s="3"/>
      <c r="F64" s="3"/>
      <c r="G64" s="3"/>
      <c r="H64" s="3"/>
      <c r="I64" s="3"/>
      <c r="J64" s="3"/>
      <c r="K64" s="3"/>
      <c r="L64" s="3"/>
      <c r="M64" s="3"/>
      <c r="O64" s="3">
        <f t="shared" si="1"/>
        <v>0</v>
      </c>
      <c r="P64" s="3" t="str">
        <f>IF(O64="","",IF(O64&gt;=Setup!$B$15,"High",IF(O64&gt;=Setup!$B$16,"Medium","Low")))</f>
        <v>Low</v>
      </c>
      <c r="Q64" s="3"/>
    </row>
    <row r="65" ht="15.75" customHeight="1">
      <c r="B65" s="3"/>
      <c r="F65" s="3"/>
      <c r="G65" s="3"/>
      <c r="H65" s="3"/>
      <c r="I65" s="3"/>
      <c r="J65" s="3"/>
      <c r="K65" s="3"/>
      <c r="L65" s="3"/>
      <c r="M65" s="3"/>
      <c r="O65" s="3">
        <f t="shared" si="1"/>
        <v>0</v>
      </c>
      <c r="P65" s="3" t="str">
        <f>IF(O65="","",IF(O65&gt;=Setup!$B$15,"High",IF(O65&gt;=Setup!$B$16,"Medium","Low")))</f>
        <v>Low</v>
      </c>
      <c r="Q65" s="3"/>
    </row>
    <row r="66" ht="15.75" customHeight="1">
      <c r="B66" s="3"/>
      <c r="F66" s="3"/>
      <c r="G66" s="3"/>
      <c r="H66" s="3"/>
      <c r="I66" s="3"/>
      <c r="J66" s="3"/>
      <c r="K66" s="3"/>
      <c r="L66" s="3"/>
      <c r="M66" s="3"/>
      <c r="O66" s="3">
        <f t="shared" si="1"/>
        <v>0</v>
      </c>
      <c r="P66" s="3" t="str">
        <f>IF(O66="","",IF(O66&gt;=Setup!$B$15,"High",IF(O66&gt;=Setup!$B$16,"Medium","Low")))</f>
        <v>Low</v>
      </c>
      <c r="Q66" s="3"/>
    </row>
    <row r="67" ht="15.75" customHeight="1">
      <c r="B67" s="3"/>
      <c r="F67" s="3"/>
      <c r="G67" s="3"/>
      <c r="H67" s="3"/>
      <c r="I67" s="3"/>
      <c r="J67" s="3"/>
      <c r="K67" s="3"/>
      <c r="L67" s="3"/>
      <c r="M67" s="3"/>
      <c r="O67" s="3">
        <f t="shared" si="1"/>
        <v>0</v>
      </c>
      <c r="P67" s="3" t="str">
        <f>IF(O67="","",IF(O67&gt;=Setup!$B$15,"High",IF(O67&gt;=Setup!$B$16,"Medium","Low")))</f>
        <v>Low</v>
      </c>
      <c r="Q67" s="3"/>
    </row>
    <row r="68" ht="15.75" customHeight="1">
      <c r="B68" s="3"/>
      <c r="F68" s="3"/>
      <c r="G68" s="3"/>
      <c r="H68" s="3"/>
      <c r="I68" s="3"/>
      <c r="J68" s="3"/>
      <c r="K68" s="3"/>
      <c r="L68" s="3"/>
      <c r="M68" s="3"/>
      <c r="O68" s="3">
        <f t="shared" si="1"/>
        <v>0</v>
      </c>
      <c r="P68" s="3" t="str">
        <f>IF(O68="","",IF(O68&gt;=Setup!$B$15,"High",IF(O68&gt;=Setup!$B$16,"Medium","Low")))</f>
        <v>Low</v>
      </c>
      <c r="Q68" s="3"/>
    </row>
    <row r="69" ht="15.75" customHeight="1">
      <c r="B69" s="3"/>
      <c r="F69" s="3"/>
      <c r="G69" s="3"/>
      <c r="H69" s="3"/>
      <c r="I69" s="3"/>
      <c r="J69" s="3"/>
      <c r="K69" s="3"/>
      <c r="L69" s="3"/>
      <c r="M69" s="3"/>
      <c r="O69" s="3">
        <f t="shared" si="1"/>
        <v>0</v>
      </c>
      <c r="P69" s="3" t="str">
        <f>IF(O69="","",IF(O69&gt;=Setup!$B$15,"High",IF(O69&gt;=Setup!$B$16,"Medium","Low")))</f>
        <v>Low</v>
      </c>
      <c r="Q69" s="3"/>
    </row>
    <row r="70" ht="15.75" customHeight="1">
      <c r="B70" s="3"/>
      <c r="F70" s="3"/>
      <c r="G70" s="3"/>
      <c r="H70" s="3"/>
      <c r="I70" s="3"/>
      <c r="J70" s="3"/>
      <c r="K70" s="3"/>
      <c r="L70" s="3"/>
      <c r="M70" s="3"/>
      <c r="O70" s="3">
        <f t="shared" si="1"/>
        <v>0</v>
      </c>
      <c r="P70" s="3" t="str">
        <f>IF(O70="","",IF(O70&gt;=Setup!$B$15,"High",IF(O70&gt;=Setup!$B$16,"Medium","Low")))</f>
        <v>Low</v>
      </c>
      <c r="Q70" s="3"/>
    </row>
    <row r="71" ht="15.75" customHeight="1">
      <c r="B71" s="3"/>
      <c r="F71" s="3"/>
      <c r="G71" s="3"/>
      <c r="H71" s="3"/>
      <c r="I71" s="3"/>
      <c r="J71" s="3"/>
      <c r="K71" s="3"/>
      <c r="L71" s="3"/>
      <c r="M71" s="3"/>
      <c r="O71" s="3">
        <f t="shared" si="1"/>
        <v>0</v>
      </c>
      <c r="P71" s="3" t="str">
        <f>IF(O71="","",IF(O71&gt;=Setup!$B$15,"High",IF(O71&gt;=Setup!$B$16,"Medium","Low")))</f>
        <v>Low</v>
      </c>
      <c r="Q71" s="3"/>
    </row>
    <row r="72" ht="15.75" customHeight="1">
      <c r="B72" s="3"/>
      <c r="F72" s="3"/>
      <c r="G72" s="3"/>
      <c r="H72" s="3"/>
      <c r="I72" s="3"/>
      <c r="J72" s="3"/>
      <c r="K72" s="3"/>
      <c r="L72" s="3"/>
      <c r="M72" s="3"/>
      <c r="O72" s="3">
        <f t="shared" si="1"/>
        <v>0</v>
      </c>
      <c r="P72" s="3" t="str">
        <f>IF(O72="","",IF(O72&gt;=Setup!$B$15,"High",IF(O72&gt;=Setup!$B$16,"Medium","Low")))</f>
        <v>Low</v>
      </c>
      <c r="Q72" s="3"/>
    </row>
    <row r="73" ht="15.75" customHeight="1">
      <c r="B73" s="3"/>
      <c r="F73" s="3"/>
      <c r="G73" s="3"/>
      <c r="H73" s="3"/>
      <c r="I73" s="3"/>
      <c r="J73" s="3"/>
      <c r="K73" s="3"/>
      <c r="L73" s="3"/>
      <c r="M73" s="3"/>
      <c r="O73" s="3">
        <f t="shared" si="1"/>
        <v>0</v>
      </c>
      <c r="P73" s="3" t="str">
        <f>IF(O73="","",IF(O73&gt;=Setup!$B$15,"High",IF(O73&gt;=Setup!$B$16,"Medium","Low")))</f>
        <v>Low</v>
      </c>
      <c r="Q73" s="3"/>
    </row>
    <row r="74" ht="15.75" customHeight="1">
      <c r="B74" s="3"/>
      <c r="F74" s="3"/>
      <c r="G74" s="3"/>
      <c r="H74" s="3"/>
      <c r="I74" s="3"/>
      <c r="J74" s="3"/>
      <c r="K74" s="3"/>
      <c r="L74" s="3"/>
      <c r="M74" s="3"/>
      <c r="O74" s="3">
        <f t="shared" si="1"/>
        <v>0</v>
      </c>
      <c r="P74" s="3" t="str">
        <f>IF(O74="","",IF(O74&gt;=Setup!$B$15,"High",IF(O74&gt;=Setup!$B$16,"Medium","Low")))</f>
        <v>Low</v>
      </c>
      <c r="Q74" s="3"/>
    </row>
    <row r="75" ht="15.75" customHeight="1">
      <c r="B75" s="3"/>
      <c r="F75" s="3"/>
      <c r="G75" s="3"/>
      <c r="H75" s="3"/>
      <c r="I75" s="3"/>
      <c r="J75" s="3"/>
      <c r="K75" s="3"/>
      <c r="L75" s="3"/>
      <c r="M75" s="3"/>
      <c r="O75" s="3">
        <f t="shared" si="1"/>
        <v>0</v>
      </c>
      <c r="P75" s="3" t="str">
        <f>IF(O75="","",IF(O75&gt;=Setup!$B$15,"High",IF(O75&gt;=Setup!$B$16,"Medium","Low")))</f>
        <v>Low</v>
      </c>
      <c r="Q75" s="3"/>
    </row>
    <row r="76" ht="15.75" customHeight="1">
      <c r="B76" s="3"/>
      <c r="F76" s="3"/>
      <c r="G76" s="3"/>
      <c r="H76" s="3"/>
      <c r="I76" s="3"/>
      <c r="J76" s="3"/>
      <c r="K76" s="3"/>
      <c r="L76" s="3"/>
      <c r="M76" s="3"/>
      <c r="O76" s="3">
        <f t="shared" si="1"/>
        <v>0</v>
      </c>
      <c r="P76" s="3" t="str">
        <f>IF(O76="","",IF(O76&gt;=Setup!$B$15,"High",IF(O76&gt;=Setup!$B$16,"Medium","Low")))</f>
        <v>Low</v>
      </c>
      <c r="Q76" s="3"/>
    </row>
    <row r="77" ht="15.75" customHeight="1">
      <c r="B77" s="3"/>
      <c r="F77" s="3"/>
      <c r="G77" s="3"/>
      <c r="H77" s="3"/>
      <c r="I77" s="3"/>
      <c r="J77" s="3"/>
      <c r="K77" s="3"/>
      <c r="L77" s="3"/>
      <c r="M77" s="3"/>
      <c r="O77" s="3">
        <f t="shared" si="1"/>
        <v>0</v>
      </c>
      <c r="P77" s="3" t="str">
        <f>IF(O77="","",IF(O77&gt;=Setup!$B$15,"High",IF(O77&gt;=Setup!$B$16,"Medium","Low")))</f>
        <v>Low</v>
      </c>
      <c r="Q77" s="3"/>
    </row>
    <row r="78" ht="15.75" customHeight="1">
      <c r="B78" s="3"/>
      <c r="F78" s="3"/>
      <c r="G78" s="3"/>
      <c r="H78" s="3"/>
      <c r="I78" s="3"/>
      <c r="J78" s="3"/>
      <c r="K78" s="3"/>
      <c r="L78" s="3"/>
      <c r="M78" s="3"/>
      <c r="O78" s="3">
        <f t="shared" si="1"/>
        <v>0</v>
      </c>
      <c r="P78" s="3" t="str">
        <f>IF(O78="","",IF(O78&gt;=Setup!$B$15,"High",IF(O78&gt;=Setup!$B$16,"Medium","Low")))</f>
        <v>Low</v>
      </c>
      <c r="Q78" s="3"/>
    </row>
    <row r="79" ht="15.75" customHeight="1">
      <c r="B79" s="3"/>
      <c r="F79" s="3"/>
      <c r="G79" s="3"/>
      <c r="H79" s="3"/>
      <c r="I79" s="3"/>
      <c r="J79" s="3"/>
      <c r="K79" s="3"/>
      <c r="L79" s="3"/>
      <c r="M79" s="3"/>
      <c r="O79" s="3">
        <f t="shared" si="1"/>
        <v>0</v>
      </c>
      <c r="P79" s="3" t="str">
        <f>IF(O79="","",IF(O79&gt;=Setup!$B$15,"High",IF(O79&gt;=Setup!$B$16,"Medium","Low")))</f>
        <v>Low</v>
      </c>
      <c r="Q79" s="3"/>
    </row>
    <row r="80" ht="15.75" customHeight="1">
      <c r="B80" s="3"/>
      <c r="F80" s="3"/>
      <c r="G80" s="3"/>
      <c r="H80" s="3"/>
      <c r="I80" s="3"/>
      <c r="J80" s="3"/>
      <c r="K80" s="3"/>
      <c r="L80" s="3"/>
      <c r="M80" s="3"/>
      <c r="O80" s="3">
        <f t="shared" si="1"/>
        <v>0</v>
      </c>
      <c r="P80" s="3" t="str">
        <f>IF(O80="","",IF(O80&gt;=Setup!$B$15,"High",IF(O80&gt;=Setup!$B$16,"Medium","Low")))</f>
        <v>Low</v>
      </c>
      <c r="Q80" s="3"/>
    </row>
    <row r="81" ht="15.75" customHeight="1">
      <c r="B81" s="3"/>
      <c r="F81" s="3"/>
      <c r="G81" s="3"/>
      <c r="H81" s="3"/>
      <c r="I81" s="3"/>
      <c r="J81" s="3"/>
      <c r="K81" s="3"/>
      <c r="L81" s="3"/>
      <c r="M81" s="3"/>
      <c r="O81" s="3">
        <f t="shared" si="1"/>
        <v>0</v>
      </c>
      <c r="P81" s="3" t="str">
        <f>IF(O81="","",IF(O81&gt;=Setup!$B$15,"High",IF(O81&gt;=Setup!$B$16,"Medium","Low")))</f>
        <v>Low</v>
      </c>
      <c r="Q81" s="3"/>
    </row>
    <row r="82" ht="15.75" customHeight="1">
      <c r="B82" s="3"/>
      <c r="F82" s="3"/>
      <c r="G82" s="3"/>
      <c r="H82" s="3"/>
      <c r="I82" s="3"/>
      <c r="J82" s="3"/>
      <c r="K82" s="3"/>
      <c r="L82" s="3"/>
      <c r="M82" s="3"/>
      <c r="O82" s="3">
        <f t="shared" si="1"/>
        <v>0</v>
      </c>
      <c r="P82" s="3" t="str">
        <f>IF(O82="","",IF(O82&gt;=Setup!$B$15,"High",IF(O82&gt;=Setup!$B$16,"Medium","Low")))</f>
        <v>Low</v>
      </c>
      <c r="Q82" s="3"/>
    </row>
    <row r="83" ht="15.75" customHeight="1">
      <c r="B83" s="3"/>
      <c r="F83" s="3"/>
      <c r="G83" s="3"/>
      <c r="H83" s="3"/>
      <c r="I83" s="3"/>
      <c r="J83" s="3"/>
      <c r="K83" s="3"/>
      <c r="L83" s="3"/>
      <c r="M83" s="3"/>
      <c r="O83" s="3">
        <f t="shared" si="1"/>
        <v>0</v>
      </c>
      <c r="P83" s="3" t="str">
        <f>IF(O83="","",IF(O83&gt;=Setup!$B$15,"High",IF(O83&gt;=Setup!$B$16,"Medium","Low")))</f>
        <v>Low</v>
      </c>
      <c r="Q83" s="3"/>
    </row>
    <row r="84" ht="15.75" customHeight="1">
      <c r="B84" s="3"/>
      <c r="F84" s="3"/>
      <c r="G84" s="3"/>
      <c r="H84" s="3"/>
      <c r="I84" s="3"/>
      <c r="J84" s="3"/>
      <c r="K84" s="3"/>
      <c r="L84" s="3"/>
      <c r="M84" s="3"/>
      <c r="O84" s="3">
        <f t="shared" si="1"/>
        <v>0</v>
      </c>
      <c r="P84" s="3" t="str">
        <f>IF(O84="","",IF(O84&gt;=Setup!$B$15,"High",IF(O84&gt;=Setup!$B$16,"Medium","Low")))</f>
        <v>Low</v>
      </c>
      <c r="Q84" s="3"/>
    </row>
    <row r="85" ht="15.75" customHeight="1">
      <c r="B85" s="3"/>
      <c r="F85" s="3"/>
      <c r="G85" s="3"/>
      <c r="H85" s="3"/>
      <c r="I85" s="3"/>
      <c r="J85" s="3"/>
      <c r="K85" s="3"/>
      <c r="L85" s="3"/>
      <c r="M85" s="3"/>
      <c r="O85" s="3">
        <f t="shared" si="1"/>
        <v>0</v>
      </c>
      <c r="P85" s="3" t="str">
        <f>IF(O85="","",IF(O85&gt;=Setup!$B$15,"High",IF(O85&gt;=Setup!$B$16,"Medium","Low")))</f>
        <v>Low</v>
      </c>
      <c r="Q85" s="3"/>
    </row>
    <row r="86" ht="15.75" customHeight="1">
      <c r="B86" s="3"/>
      <c r="F86" s="3"/>
      <c r="G86" s="3"/>
      <c r="H86" s="3"/>
      <c r="I86" s="3"/>
      <c r="J86" s="3"/>
      <c r="K86" s="3"/>
      <c r="L86" s="3"/>
      <c r="M86" s="3"/>
      <c r="O86" s="3">
        <f t="shared" si="1"/>
        <v>0</v>
      </c>
      <c r="P86" s="3" t="str">
        <f>IF(O86="","",IF(O86&gt;=Setup!$B$15,"High",IF(O86&gt;=Setup!$B$16,"Medium","Low")))</f>
        <v>Low</v>
      </c>
      <c r="Q86" s="3"/>
    </row>
    <row r="87" ht="15.75" customHeight="1">
      <c r="B87" s="3"/>
      <c r="F87" s="3"/>
      <c r="G87" s="3"/>
      <c r="H87" s="3"/>
      <c r="I87" s="3"/>
      <c r="J87" s="3"/>
      <c r="K87" s="3"/>
      <c r="L87" s="3"/>
      <c r="M87" s="3"/>
      <c r="O87" s="3">
        <f t="shared" si="1"/>
        <v>0</v>
      </c>
      <c r="P87" s="3" t="str">
        <f>IF(O87="","",IF(O87&gt;=Setup!$B$15,"High",IF(O87&gt;=Setup!$B$16,"Medium","Low")))</f>
        <v>Low</v>
      </c>
      <c r="Q87" s="3"/>
    </row>
    <row r="88" ht="15.75" customHeight="1">
      <c r="B88" s="3"/>
      <c r="F88" s="3"/>
      <c r="G88" s="3"/>
      <c r="H88" s="3"/>
      <c r="I88" s="3"/>
      <c r="J88" s="3"/>
      <c r="K88" s="3"/>
      <c r="L88" s="3"/>
      <c r="M88" s="3"/>
      <c r="O88" s="3">
        <f t="shared" si="1"/>
        <v>0</v>
      </c>
      <c r="P88" s="3" t="str">
        <f>IF(O88="","",IF(O88&gt;=Setup!$B$15,"High",IF(O88&gt;=Setup!$B$16,"Medium","Low")))</f>
        <v>Low</v>
      </c>
      <c r="Q88" s="3"/>
    </row>
    <row r="89" ht="15.75" customHeight="1">
      <c r="B89" s="3"/>
      <c r="F89" s="3"/>
      <c r="G89" s="3"/>
      <c r="H89" s="3"/>
      <c r="I89" s="3"/>
      <c r="J89" s="3"/>
      <c r="K89" s="3"/>
      <c r="L89" s="3"/>
      <c r="M89" s="3"/>
      <c r="O89" s="3">
        <f t="shared" si="1"/>
        <v>0</v>
      </c>
      <c r="P89" s="3" t="str">
        <f>IF(O89="","",IF(O89&gt;=Setup!$B$15,"High",IF(O89&gt;=Setup!$B$16,"Medium","Low")))</f>
        <v>Low</v>
      </c>
      <c r="Q89" s="3"/>
    </row>
    <row r="90" ht="15.75" customHeight="1">
      <c r="B90" s="3"/>
      <c r="F90" s="3"/>
      <c r="G90" s="3"/>
      <c r="H90" s="3"/>
      <c r="I90" s="3"/>
      <c r="J90" s="3"/>
      <c r="K90" s="3"/>
      <c r="L90" s="3"/>
      <c r="M90" s="3"/>
      <c r="O90" s="3">
        <f t="shared" si="1"/>
        <v>0</v>
      </c>
      <c r="P90" s="3" t="str">
        <f>IF(O90="","",IF(O90&gt;=Setup!$B$15,"High",IF(O90&gt;=Setup!$B$16,"Medium","Low")))</f>
        <v>Low</v>
      </c>
      <c r="Q90" s="3"/>
    </row>
    <row r="91" ht="15.75" customHeight="1">
      <c r="B91" s="3"/>
      <c r="F91" s="3"/>
      <c r="G91" s="3"/>
      <c r="H91" s="3"/>
      <c r="I91" s="3"/>
      <c r="J91" s="3"/>
      <c r="K91" s="3"/>
      <c r="L91" s="3"/>
      <c r="M91" s="3"/>
      <c r="O91" s="3">
        <f t="shared" si="1"/>
        <v>0</v>
      </c>
      <c r="P91" s="3" t="str">
        <f>IF(O91="","",IF(O91&gt;=Setup!$B$15,"High",IF(O91&gt;=Setup!$B$16,"Medium","Low")))</f>
        <v>Low</v>
      </c>
      <c r="Q91" s="3"/>
    </row>
    <row r="92" ht="15.75" customHeight="1">
      <c r="B92" s="3"/>
      <c r="F92" s="3"/>
      <c r="G92" s="3"/>
      <c r="H92" s="3"/>
      <c r="I92" s="3"/>
      <c r="J92" s="3"/>
      <c r="K92" s="3"/>
      <c r="L92" s="3"/>
      <c r="M92" s="3"/>
      <c r="O92" s="3">
        <f t="shared" si="1"/>
        <v>0</v>
      </c>
      <c r="P92" s="3" t="str">
        <f>IF(O92="","",IF(O92&gt;=Setup!$B$15,"High",IF(O92&gt;=Setup!$B$16,"Medium","Low")))</f>
        <v>Low</v>
      </c>
      <c r="Q92" s="3"/>
    </row>
    <row r="93" ht="15.75" customHeight="1">
      <c r="B93" s="3"/>
      <c r="F93" s="3"/>
      <c r="G93" s="3"/>
      <c r="H93" s="3"/>
      <c r="I93" s="3"/>
      <c r="J93" s="3"/>
      <c r="K93" s="3"/>
      <c r="L93" s="3"/>
      <c r="M93" s="3"/>
      <c r="O93" s="3">
        <f t="shared" si="1"/>
        <v>0</v>
      </c>
      <c r="P93" s="3" t="str">
        <f>IF(O93="","",IF(O93&gt;=Setup!$B$15,"High",IF(O93&gt;=Setup!$B$16,"Medium","Low")))</f>
        <v>Low</v>
      </c>
      <c r="Q93" s="3"/>
    </row>
    <row r="94" ht="15.75" customHeight="1">
      <c r="B94" s="3"/>
      <c r="F94" s="3"/>
      <c r="G94" s="3"/>
      <c r="H94" s="3"/>
      <c r="I94" s="3"/>
      <c r="J94" s="3"/>
      <c r="K94" s="3"/>
      <c r="L94" s="3"/>
      <c r="M94" s="3"/>
      <c r="O94" s="3">
        <f t="shared" si="1"/>
        <v>0</v>
      </c>
      <c r="P94" s="3" t="str">
        <f>IF(O94="","",IF(O94&gt;=Setup!$B$15,"High",IF(O94&gt;=Setup!$B$16,"Medium","Low")))</f>
        <v>Low</v>
      </c>
      <c r="Q94" s="3"/>
    </row>
    <row r="95" ht="15.75" customHeight="1">
      <c r="B95" s="3"/>
      <c r="F95" s="3"/>
      <c r="G95" s="3"/>
      <c r="H95" s="3"/>
      <c r="I95" s="3"/>
      <c r="J95" s="3"/>
      <c r="K95" s="3"/>
      <c r="L95" s="3"/>
      <c r="M95" s="3"/>
      <c r="O95" s="3">
        <f t="shared" si="1"/>
        <v>0</v>
      </c>
      <c r="P95" s="3" t="str">
        <f>IF(O95="","",IF(O95&gt;=Setup!$B$15,"High",IF(O95&gt;=Setup!$B$16,"Medium","Low")))</f>
        <v>Low</v>
      </c>
      <c r="Q95" s="3"/>
    </row>
    <row r="96" ht="15.75" customHeight="1">
      <c r="B96" s="3"/>
      <c r="F96" s="3"/>
      <c r="G96" s="3"/>
      <c r="H96" s="3"/>
      <c r="I96" s="3"/>
      <c r="J96" s="3"/>
      <c r="K96" s="3"/>
      <c r="L96" s="3"/>
      <c r="M96" s="3"/>
      <c r="O96" s="3">
        <f t="shared" si="1"/>
        <v>0</v>
      </c>
      <c r="P96" s="3" t="str">
        <f>IF(O96="","",IF(O96&gt;=Setup!$B$15,"High",IF(O96&gt;=Setup!$B$16,"Medium","Low")))</f>
        <v>Low</v>
      </c>
      <c r="Q96" s="3"/>
    </row>
    <row r="97" ht="15.75" customHeight="1">
      <c r="B97" s="3"/>
      <c r="F97" s="3"/>
      <c r="G97" s="3"/>
      <c r="H97" s="3"/>
      <c r="I97" s="3"/>
      <c r="J97" s="3"/>
      <c r="K97" s="3"/>
      <c r="L97" s="3"/>
      <c r="M97" s="3"/>
      <c r="O97" s="3">
        <f t="shared" si="1"/>
        <v>0</v>
      </c>
      <c r="P97" s="3" t="str">
        <f>IF(O97="","",IF(O97&gt;=Setup!$B$15,"High",IF(O97&gt;=Setup!$B$16,"Medium","Low")))</f>
        <v>Low</v>
      </c>
      <c r="Q97" s="3"/>
    </row>
    <row r="98" ht="15.75" customHeight="1">
      <c r="B98" s="3"/>
      <c r="F98" s="3"/>
      <c r="G98" s="3"/>
      <c r="H98" s="3"/>
      <c r="I98" s="3"/>
      <c r="J98" s="3"/>
      <c r="K98" s="3"/>
      <c r="L98" s="3"/>
      <c r="M98" s="3"/>
      <c r="O98" s="3">
        <f t="shared" si="1"/>
        <v>0</v>
      </c>
      <c r="P98" s="3" t="str">
        <f>IF(O98="","",IF(O98&gt;=Setup!$B$15,"High",IF(O98&gt;=Setup!$B$16,"Medium","Low")))</f>
        <v>Low</v>
      </c>
      <c r="Q98" s="3"/>
    </row>
    <row r="99" ht="15.75" customHeight="1">
      <c r="B99" s="3"/>
      <c r="F99" s="3"/>
      <c r="G99" s="3"/>
      <c r="H99" s="3"/>
      <c r="I99" s="3"/>
      <c r="J99" s="3"/>
      <c r="K99" s="3"/>
      <c r="L99" s="3"/>
      <c r="M99" s="3"/>
      <c r="O99" s="3">
        <f t="shared" si="1"/>
        <v>0</v>
      </c>
      <c r="P99" s="3" t="str">
        <f>IF(O99="","",IF(O99&gt;=Setup!$B$15,"High",IF(O99&gt;=Setup!$B$16,"Medium","Low")))</f>
        <v>Low</v>
      </c>
      <c r="Q99" s="3"/>
    </row>
    <row r="100" ht="15.75" customHeight="1">
      <c r="B100" s="3"/>
      <c r="F100" s="3"/>
      <c r="G100" s="3"/>
      <c r="H100" s="3"/>
      <c r="I100" s="3"/>
      <c r="J100" s="3"/>
      <c r="K100" s="3"/>
      <c r="L100" s="3"/>
      <c r="M100" s="3"/>
      <c r="O100" s="3">
        <f t="shared" si="1"/>
        <v>0</v>
      </c>
      <c r="P100" s="3" t="str">
        <f>IF(O100="","",IF(O100&gt;=Setup!$B$15,"High",IF(O100&gt;=Setup!$B$16,"Medium","Low")))</f>
        <v>Low</v>
      </c>
      <c r="Q100" s="3"/>
    </row>
    <row r="101" ht="15.75" customHeight="1">
      <c r="B101" s="3"/>
      <c r="F101" s="3"/>
      <c r="G101" s="3"/>
      <c r="H101" s="3"/>
      <c r="I101" s="3"/>
      <c r="J101" s="3"/>
      <c r="K101" s="3"/>
      <c r="L101" s="3"/>
      <c r="M101" s="3"/>
      <c r="O101" s="3">
        <f t="shared" si="1"/>
        <v>0</v>
      </c>
      <c r="P101" s="3" t="str">
        <f>IF(O101="","",IF(O101&gt;=Setup!$B$15,"High",IF(O101&gt;=Setup!$B$16,"Medium","Low")))</f>
        <v>Low</v>
      </c>
      <c r="Q101" s="3"/>
    </row>
    <row r="102" ht="15.75" customHeight="1">
      <c r="B102" s="3"/>
      <c r="F102" s="3"/>
      <c r="G102" s="3"/>
      <c r="H102" s="3"/>
      <c r="I102" s="3"/>
      <c r="J102" s="3"/>
      <c r="K102" s="3"/>
      <c r="L102" s="3"/>
      <c r="M102" s="3"/>
      <c r="O102" s="3">
        <f t="shared" si="1"/>
        <v>0</v>
      </c>
      <c r="P102" s="3" t="str">
        <f>IF(O102="","",IF(O102&gt;=Setup!$B$15,"High",IF(O102&gt;=Setup!$B$16,"Medium","Low")))</f>
        <v>Low</v>
      </c>
      <c r="Q102" s="3"/>
    </row>
    <row r="103" ht="15.75" customHeight="1">
      <c r="B103" s="3"/>
      <c r="F103" s="3"/>
      <c r="G103" s="3"/>
      <c r="H103" s="3"/>
      <c r="I103" s="3"/>
      <c r="J103" s="3"/>
      <c r="K103" s="3"/>
      <c r="L103" s="3"/>
      <c r="M103" s="3"/>
      <c r="O103" s="3">
        <f t="shared" si="1"/>
        <v>0</v>
      </c>
      <c r="P103" s="3" t="str">
        <f>IF(O103="","",IF(O103&gt;=Setup!$B$15,"High",IF(O103&gt;=Setup!$B$16,"Medium","Low")))</f>
        <v>Low</v>
      </c>
      <c r="Q103" s="3"/>
    </row>
    <row r="104" ht="15.75" customHeight="1">
      <c r="B104" s="3"/>
      <c r="F104" s="3"/>
      <c r="G104" s="3"/>
      <c r="H104" s="3"/>
      <c r="I104" s="3"/>
      <c r="J104" s="3"/>
      <c r="K104" s="3"/>
      <c r="L104" s="3"/>
      <c r="M104" s="3"/>
      <c r="O104" s="3">
        <f t="shared" si="1"/>
        <v>0</v>
      </c>
      <c r="P104" s="3" t="str">
        <f>IF(O104="","",IF(O104&gt;=Setup!$B$15,"High",IF(O104&gt;=Setup!$B$16,"Medium","Low")))</f>
        <v>Low</v>
      </c>
      <c r="Q104" s="3"/>
    </row>
    <row r="105" ht="15.75" customHeight="1">
      <c r="B105" s="3"/>
      <c r="F105" s="3"/>
      <c r="G105" s="3"/>
      <c r="H105" s="3"/>
      <c r="I105" s="3"/>
      <c r="J105" s="3"/>
      <c r="K105" s="3"/>
      <c r="L105" s="3"/>
      <c r="M105" s="3"/>
      <c r="O105" s="3">
        <f t="shared" si="1"/>
        <v>0</v>
      </c>
      <c r="P105" s="3" t="str">
        <f>IF(O105="","",IF(O105&gt;=Setup!$B$15,"High",IF(O105&gt;=Setup!$B$16,"Medium","Low")))</f>
        <v>Low</v>
      </c>
      <c r="Q105" s="3"/>
    </row>
    <row r="106" ht="15.75" customHeight="1">
      <c r="B106" s="3"/>
      <c r="F106" s="3"/>
      <c r="G106" s="3"/>
      <c r="H106" s="3"/>
      <c r="I106" s="3"/>
      <c r="J106" s="3"/>
      <c r="K106" s="3"/>
      <c r="L106" s="3"/>
      <c r="M106" s="3"/>
      <c r="O106" s="3">
        <f t="shared" si="1"/>
        <v>0</v>
      </c>
      <c r="P106" s="3" t="str">
        <f>IF(O106="","",IF(O106&gt;=Setup!$B$15,"High",IF(O106&gt;=Setup!$B$16,"Medium","Low")))</f>
        <v>Low</v>
      </c>
      <c r="Q106" s="3"/>
    </row>
    <row r="107" ht="15.75" customHeight="1">
      <c r="B107" s="3"/>
      <c r="F107" s="3"/>
      <c r="G107" s="3"/>
      <c r="H107" s="3"/>
      <c r="I107" s="3"/>
      <c r="J107" s="3"/>
      <c r="K107" s="3"/>
      <c r="L107" s="3"/>
      <c r="M107" s="3"/>
      <c r="O107" s="3">
        <f t="shared" si="1"/>
        <v>0</v>
      </c>
      <c r="P107" s="3" t="str">
        <f>IF(O107="","",IF(O107&gt;=Setup!$B$15,"High",IF(O107&gt;=Setup!$B$16,"Medium","Low")))</f>
        <v>Low</v>
      </c>
      <c r="Q107" s="3"/>
    </row>
    <row r="108" ht="15.75" customHeight="1">
      <c r="B108" s="3"/>
      <c r="F108" s="3"/>
      <c r="G108" s="3"/>
      <c r="H108" s="3"/>
      <c r="I108" s="3"/>
      <c r="J108" s="3"/>
      <c r="K108" s="3"/>
      <c r="L108" s="3"/>
      <c r="M108" s="3"/>
      <c r="O108" s="3">
        <f t="shared" si="1"/>
        <v>0</v>
      </c>
      <c r="P108" s="3" t="str">
        <f>IF(O108="","",IF(O108&gt;=Setup!$B$15,"High",IF(O108&gt;=Setup!$B$16,"Medium","Low")))</f>
        <v>Low</v>
      </c>
      <c r="Q108" s="3"/>
    </row>
    <row r="109" ht="15.75" customHeight="1">
      <c r="B109" s="3"/>
      <c r="F109" s="3"/>
      <c r="G109" s="3"/>
      <c r="H109" s="3"/>
      <c r="I109" s="3"/>
      <c r="J109" s="3"/>
      <c r="K109" s="3"/>
      <c r="L109" s="3"/>
      <c r="M109" s="3"/>
      <c r="O109" s="3">
        <f t="shared" si="1"/>
        <v>0</v>
      </c>
      <c r="P109" s="3" t="str">
        <f>IF(O109="","",IF(O109&gt;=Setup!$B$15,"High",IF(O109&gt;=Setup!$B$16,"Medium","Low")))</f>
        <v>Low</v>
      </c>
      <c r="Q109" s="3"/>
    </row>
    <row r="110" ht="15.75" customHeight="1">
      <c r="B110" s="3"/>
      <c r="F110" s="3"/>
      <c r="G110" s="3"/>
      <c r="H110" s="3"/>
      <c r="I110" s="3"/>
      <c r="J110" s="3"/>
      <c r="K110" s="3"/>
      <c r="L110" s="3"/>
      <c r="M110" s="3"/>
      <c r="O110" s="3">
        <f t="shared" si="1"/>
        <v>0</v>
      </c>
      <c r="P110" s="3" t="str">
        <f>IF(O110="","",IF(O110&gt;=Setup!$B$15,"High",IF(O110&gt;=Setup!$B$16,"Medium","Low")))</f>
        <v>Low</v>
      </c>
      <c r="Q110" s="3"/>
    </row>
    <row r="111" ht="15.75" customHeight="1">
      <c r="B111" s="3"/>
      <c r="F111" s="3"/>
      <c r="G111" s="3"/>
      <c r="H111" s="3"/>
      <c r="I111" s="3"/>
      <c r="J111" s="3"/>
      <c r="K111" s="3"/>
      <c r="L111" s="3"/>
      <c r="M111" s="3"/>
      <c r="O111" s="3">
        <f t="shared" si="1"/>
        <v>0</v>
      </c>
      <c r="P111" s="3" t="str">
        <f>IF(O111="","",IF(O111&gt;=Setup!$B$15,"High",IF(O111&gt;=Setup!$B$16,"Medium","Low")))</f>
        <v>Low</v>
      </c>
      <c r="Q111" s="3"/>
    </row>
    <row r="112" ht="15.75" customHeight="1">
      <c r="B112" s="3"/>
      <c r="F112" s="3"/>
      <c r="G112" s="3"/>
      <c r="H112" s="3"/>
      <c r="I112" s="3"/>
      <c r="J112" s="3"/>
      <c r="K112" s="3"/>
      <c r="L112" s="3"/>
      <c r="M112" s="3"/>
      <c r="O112" s="3">
        <f t="shared" si="1"/>
        <v>0</v>
      </c>
      <c r="P112" s="3" t="str">
        <f>IF(O112="","",IF(O112&gt;=Setup!$B$15,"High",IF(O112&gt;=Setup!$B$16,"Medium","Low")))</f>
        <v>Low</v>
      </c>
      <c r="Q112" s="3"/>
    </row>
    <row r="113" ht="15.75" customHeight="1">
      <c r="B113" s="3"/>
      <c r="F113" s="3"/>
      <c r="G113" s="3"/>
      <c r="H113" s="3"/>
      <c r="I113" s="3"/>
      <c r="J113" s="3"/>
      <c r="K113" s="3"/>
      <c r="L113" s="3"/>
      <c r="M113" s="3"/>
      <c r="O113" s="3">
        <f t="shared" si="1"/>
        <v>0</v>
      </c>
      <c r="P113" s="3" t="str">
        <f>IF(O113="","",IF(O113&gt;=Setup!$B$15,"High",IF(O113&gt;=Setup!$B$16,"Medium","Low")))</f>
        <v>Low</v>
      </c>
      <c r="Q113" s="3"/>
    </row>
    <row r="114" ht="15.75" customHeight="1">
      <c r="B114" s="3"/>
      <c r="F114" s="3"/>
      <c r="G114" s="3"/>
      <c r="H114" s="3"/>
      <c r="I114" s="3"/>
      <c r="J114" s="3"/>
      <c r="K114" s="3"/>
      <c r="L114" s="3"/>
      <c r="M114" s="3"/>
      <c r="O114" s="3">
        <f t="shared" si="1"/>
        <v>0</v>
      </c>
      <c r="P114" s="3" t="str">
        <f>IF(O114="","",IF(O114&gt;=Setup!$B$15,"High",IF(O114&gt;=Setup!$B$16,"Medium","Low")))</f>
        <v>Low</v>
      </c>
      <c r="Q114" s="3"/>
    </row>
    <row r="115" ht="15.75" customHeight="1">
      <c r="B115" s="3"/>
      <c r="F115" s="3"/>
      <c r="G115" s="3"/>
      <c r="H115" s="3"/>
      <c r="I115" s="3"/>
      <c r="J115" s="3"/>
      <c r="K115" s="3"/>
      <c r="L115" s="3"/>
      <c r="M115" s="3"/>
      <c r="O115" s="3">
        <f t="shared" si="1"/>
        <v>0</v>
      </c>
      <c r="P115" s="3" t="str">
        <f>IF(O115="","",IF(O115&gt;=Setup!$B$15,"High",IF(O115&gt;=Setup!$B$16,"Medium","Low")))</f>
        <v>Low</v>
      </c>
      <c r="Q115" s="3"/>
    </row>
    <row r="116" ht="15.75" customHeight="1">
      <c r="B116" s="3"/>
      <c r="F116" s="3"/>
      <c r="G116" s="3"/>
      <c r="H116" s="3"/>
      <c r="I116" s="3"/>
      <c r="J116" s="3"/>
      <c r="K116" s="3"/>
      <c r="L116" s="3"/>
      <c r="M116" s="3"/>
      <c r="O116" s="3">
        <f t="shared" si="1"/>
        <v>0</v>
      </c>
      <c r="P116" s="3" t="str">
        <f>IF(O116="","",IF(O116&gt;=Setup!$B$15,"High",IF(O116&gt;=Setup!$B$16,"Medium","Low")))</f>
        <v>Low</v>
      </c>
      <c r="Q116" s="3"/>
    </row>
    <row r="117" ht="15.75" customHeight="1">
      <c r="B117" s="3"/>
      <c r="F117" s="3"/>
      <c r="G117" s="3"/>
      <c r="H117" s="3"/>
      <c r="I117" s="3"/>
      <c r="J117" s="3"/>
      <c r="K117" s="3"/>
      <c r="L117" s="3"/>
      <c r="M117" s="3"/>
      <c r="O117" s="3">
        <f t="shared" si="1"/>
        <v>0</v>
      </c>
      <c r="P117" s="3" t="str">
        <f>IF(O117="","",IF(O117&gt;=Setup!$B$15,"High",IF(O117&gt;=Setup!$B$16,"Medium","Low")))</f>
        <v>Low</v>
      </c>
      <c r="Q117" s="3"/>
    </row>
    <row r="118" ht="15.75" customHeight="1">
      <c r="B118" s="3"/>
      <c r="F118" s="3"/>
      <c r="G118" s="3"/>
      <c r="H118" s="3"/>
      <c r="I118" s="3"/>
      <c r="J118" s="3"/>
      <c r="K118" s="3"/>
      <c r="L118" s="3"/>
      <c r="M118" s="3"/>
      <c r="O118" s="3">
        <f t="shared" si="1"/>
        <v>0</v>
      </c>
      <c r="P118" s="3" t="str">
        <f>IF(O118="","",IF(O118&gt;=Setup!$B$15,"High",IF(O118&gt;=Setup!$B$16,"Medium","Low")))</f>
        <v>Low</v>
      </c>
      <c r="Q118" s="3"/>
    </row>
    <row r="119" ht="15.75" customHeight="1">
      <c r="B119" s="3"/>
      <c r="F119" s="3"/>
      <c r="G119" s="3"/>
      <c r="H119" s="3"/>
      <c r="I119" s="3"/>
      <c r="J119" s="3"/>
      <c r="K119" s="3"/>
      <c r="L119" s="3"/>
      <c r="M119" s="3"/>
      <c r="O119" s="3">
        <f t="shared" si="1"/>
        <v>0</v>
      </c>
      <c r="P119" s="3" t="str">
        <f>IF(O119="","",IF(O119&gt;=Setup!$B$15,"High",IF(O119&gt;=Setup!$B$16,"Medium","Low")))</f>
        <v>Low</v>
      </c>
      <c r="Q119" s="3"/>
    </row>
    <row r="120" ht="15.75" customHeight="1">
      <c r="B120" s="3"/>
      <c r="F120" s="3"/>
      <c r="G120" s="3"/>
      <c r="H120" s="3"/>
      <c r="I120" s="3"/>
      <c r="J120" s="3"/>
      <c r="K120" s="3"/>
      <c r="L120" s="3"/>
      <c r="M120" s="3"/>
      <c r="O120" s="3">
        <f t="shared" si="1"/>
        <v>0</v>
      </c>
      <c r="P120" s="3" t="str">
        <f>IF(O120="","",IF(O120&gt;=Setup!$B$15,"High",IF(O120&gt;=Setup!$B$16,"Medium","Low")))</f>
        <v>Low</v>
      </c>
      <c r="Q120" s="3"/>
    </row>
    <row r="121" ht="15.75" customHeight="1">
      <c r="B121" s="3"/>
      <c r="F121" s="3"/>
      <c r="G121" s="3"/>
      <c r="H121" s="3"/>
      <c r="I121" s="3"/>
      <c r="J121" s="3"/>
      <c r="K121" s="3"/>
      <c r="L121" s="3"/>
      <c r="M121" s="3"/>
      <c r="O121" s="3">
        <f t="shared" si="1"/>
        <v>0</v>
      </c>
      <c r="P121" s="3" t="str">
        <f>IF(O121="","",IF(O121&gt;=Setup!$B$15,"High",IF(O121&gt;=Setup!$B$16,"Medium","Low")))</f>
        <v>Low</v>
      </c>
      <c r="Q121" s="3"/>
    </row>
    <row r="122" ht="15.75" customHeight="1">
      <c r="B122" s="3"/>
      <c r="F122" s="3"/>
      <c r="G122" s="3"/>
      <c r="H122" s="3"/>
      <c r="I122" s="3"/>
      <c r="J122" s="3"/>
      <c r="K122" s="3"/>
      <c r="L122" s="3"/>
      <c r="M122" s="3"/>
      <c r="O122" s="3">
        <f t="shared" si="1"/>
        <v>0</v>
      </c>
      <c r="P122" s="3" t="str">
        <f>IF(O122="","",IF(O122&gt;=Setup!$B$15,"High",IF(O122&gt;=Setup!$B$16,"Medium","Low")))</f>
        <v>Low</v>
      </c>
      <c r="Q122" s="3"/>
    </row>
    <row r="123" ht="15.75" customHeight="1">
      <c r="B123" s="3"/>
      <c r="F123" s="3"/>
      <c r="G123" s="3"/>
      <c r="H123" s="3"/>
      <c r="I123" s="3"/>
      <c r="J123" s="3"/>
      <c r="K123" s="3"/>
      <c r="L123" s="3"/>
      <c r="M123" s="3"/>
      <c r="O123" s="3">
        <f t="shared" si="1"/>
        <v>0</v>
      </c>
      <c r="P123" s="3" t="str">
        <f>IF(O123="","",IF(O123&gt;=Setup!$B$15,"High",IF(O123&gt;=Setup!$B$16,"Medium","Low")))</f>
        <v>Low</v>
      </c>
      <c r="Q123" s="3"/>
    </row>
    <row r="124" ht="15.75" customHeight="1">
      <c r="B124" s="3"/>
      <c r="F124" s="3"/>
      <c r="G124" s="3"/>
      <c r="H124" s="3"/>
      <c r="I124" s="3"/>
      <c r="J124" s="3"/>
      <c r="K124" s="3"/>
      <c r="L124" s="3"/>
      <c r="M124" s="3"/>
      <c r="O124" s="3">
        <f t="shared" si="1"/>
        <v>0</v>
      </c>
      <c r="P124" s="3" t="str">
        <f>IF(O124="","",IF(O124&gt;=Setup!$B$15,"High",IF(O124&gt;=Setup!$B$16,"Medium","Low")))</f>
        <v>Low</v>
      </c>
      <c r="Q124" s="3"/>
    </row>
    <row r="125" ht="15.75" customHeight="1">
      <c r="B125" s="3"/>
      <c r="F125" s="3"/>
      <c r="G125" s="3"/>
      <c r="H125" s="3"/>
      <c r="I125" s="3"/>
      <c r="J125" s="3"/>
      <c r="K125" s="3"/>
      <c r="L125" s="3"/>
      <c r="M125" s="3"/>
      <c r="O125" s="3">
        <f t="shared" si="1"/>
        <v>0</v>
      </c>
      <c r="P125" s="3" t="str">
        <f>IF(O125="","",IF(O125&gt;=Setup!$B$15,"High",IF(O125&gt;=Setup!$B$16,"Medium","Low")))</f>
        <v>Low</v>
      </c>
      <c r="Q125" s="3"/>
    </row>
    <row r="126" ht="15.75" customHeight="1">
      <c r="B126" s="3"/>
      <c r="F126" s="3"/>
      <c r="G126" s="3"/>
      <c r="H126" s="3"/>
      <c r="I126" s="3"/>
      <c r="J126" s="3"/>
      <c r="K126" s="3"/>
      <c r="L126" s="3"/>
      <c r="M126" s="3"/>
      <c r="O126" s="3">
        <f t="shared" si="1"/>
        <v>0</v>
      </c>
      <c r="P126" s="3" t="str">
        <f>IF(O126="","",IF(O126&gt;=Setup!$B$15,"High",IF(O126&gt;=Setup!$B$16,"Medium","Low")))</f>
        <v>Low</v>
      </c>
      <c r="Q126" s="3"/>
    </row>
    <row r="127" ht="15.75" customHeight="1">
      <c r="B127" s="3"/>
      <c r="F127" s="3"/>
      <c r="G127" s="3"/>
      <c r="H127" s="3"/>
      <c r="I127" s="3"/>
      <c r="J127" s="3"/>
      <c r="K127" s="3"/>
      <c r="L127" s="3"/>
      <c r="M127" s="3"/>
      <c r="O127" s="3">
        <f t="shared" si="1"/>
        <v>0</v>
      </c>
      <c r="P127" s="3" t="str">
        <f>IF(O127="","",IF(O127&gt;=Setup!$B$15,"High",IF(O127&gt;=Setup!$B$16,"Medium","Low")))</f>
        <v>Low</v>
      </c>
      <c r="Q127" s="3"/>
    </row>
    <row r="128" ht="15.75" customHeight="1">
      <c r="B128" s="3"/>
      <c r="F128" s="3"/>
      <c r="G128" s="3"/>
      <c r="H128" s="3"/>
      <c r="I128" s="3"/>
      <c r="J128" s="3"/>
      <c r="K128" s="3"/>
      <c r="L128" s="3"/>
      <c r="M128" s="3"/>
      <c r="O128" s="3">
        <f t="shared" si="1"/>
        <v>0</v>
      </c>
      <c r="P128" s="3" t="str">
        <f>IF(O128="","",IF(O128&gt;=Setup!$B$15,"High",IF(O128&gt;=Setup!$B$16,"Medium","Low")))</f>
        <v>Low</v>
      </c>
      <c r="Q128" s="3"/>
    </row>
    <row r="129" ht="15.75" customHeight="1">
      <c r="B129" s="3"/>
      <c r="F129" s="3"/>
      <c r="G129" s="3"/>
      <c r="H129" s="3"/>
      <c r="I129" s="3"/>
      <c r="J129" s="3"/>
      <c r="K129" s="3"/>
      <c r="L129" s="3"/>
      <c r="M129" s="3"/>
      <c r="O129" s="3">
        <f t="shared" si="1"/>
        <v>0</v>
      </c>
      <c r="P129" s="3" t="str">
        <f>IF(O129="","",IF(O129&gt;=Setup!$B$15,"High",IF(O129&gt;=Setup!$B$16,"Medium","Low")))</f>
        <v>Low</v>
      </c>
      <c r="Q129" s="3"/>
    </row>
    <row r="130" ht="15.75" customHeight="1">
      <c r="B130" s="3"/>
      <c r="F130" s="3"/>
      <c r="G130" s="3"/>
      <c r="H130" s="3"/>
      <c r="I130" s="3"/>
      <c r="J130" s="3"/>
      <c r="K130" s="3"/>
      <c r="L130" s="3"/>
      <c r="M130" s="3"/>
      <c r="O130" s="3">
        <f t="shared" si="1"/>
        <v>0</v>
      </c>
      <c r="P130" s="3" t="str">
        <f>IF(O130="","",IF(O130&gt;=Setup!$B$15,"High",IF(O130&gt;=Setup!$B$16,"Medium","Low")))</f>
        <v>Low</v>
      </c>
      <c r="Q130" s="3"/>
    </row>
    <row r="131" ht="15.75" customHeight="1">
      <c r="B131" s="3"/>
      <c r="F131" s="3"/>
      <c r="G131" s="3"/>
      <c r="H131" s="3"/>
      <c r="I131" s="3"/>
      <c r="J131" s="3"/>
      <c r="K131" s="3"/>
      <c r="L131" s="3"/>
      <c r="M131" s="3"/>
      <c r="O131" s="3">
        <f t="shared" si="1"/>
        <v>0</v>
      </c>
      <c r="P131" s="3" t="str">
        <f>IF(O131="","",IF(O131&gt;=Setup!$B$15,"High",IF(O131&gt;=Setup!$B$16,"Medium","Low")))</f>
        <v>Low</v>
      </c>
      <c r="Q131" s="3"/>
    </row>
    <row r="132" ht="15.75" customHeight="1">
      <c r="B132" s="3"/>
      <c r="F132" s="3"/>
      <c r="G132" s="3"/>
      <c r="H132" s="3"/>
      <c r="I132" s="3"/>
      <c r="J132" s="3"/>
      <c r="K132" s="3"/>
      <c r="L132" s="3"/>
      <c r="M132" s="3"/>
      <c r="O132" s="3">
        <f t="shared" si="1"/>
        <v>0</v>
      </c>
      <c r="P132" s="3" t="str">
        <f>IF(O132="","",IF(O132&gt;=Setup!$B$15,"High",IF(O132&gt;=Setup!$B$16,"Medium","Low")))</f>
        <v>Low</v>
      </c>
      <c r="Q132" s="3"/>
    </row>
    <row r="133" ht="15.75" customHeight="1">
      <c r="B133" s="3"/>
      <c r="F133" s="3"/>
      <c r="G133" s="3"/>
      <c r="H133" s="3"/>
      <c r="I133" s="3"/>
      <c r="J133" s="3"/>
      <c r="K133" s="3"/>
      <c r="L133" s="3"/>
      <c r="M133" s="3"/>
      <c r="O133" s="3">
        <f t="shared" si="1"/>
        <v>0</v>
      </c>
      <c r="P133" s="3" t="str">
        <f>IF(O133="","",IF(O133&gt;=Setup!$B$15,"High",IF(O133&gt;=Setup!$B$16,"Medium","Low")))</f>
        <v>Low</v>
      </c>
      <c r="Q133" s="3"/>
    </row>
    <row r="134" ht="15.75" customHeight="1">
      <c r="B134" s="3"/>
      <c r="F134" s="3"/>
      <c r="G134" s="3"/>
      <c r="H134" s="3"/>
      <c r="I134" s="3"/>
      <c r="J134" s="3"/>
      <c r="K134" s="3"/>
      <c r="L134" s="3"/>
      <c r="M134" s="3"/>
      <c r="O134" s="3">
        <f t="shared" si="1"/>
        <v>0</v>
      </c>
      <c r="P134" s="3" t="str">
        <f>IF(O134="","",IF(O134&gt;=Setup!$B$15,"High",IF(O134&gt;=Setup!$B$16,"Medium","Low")))</f>
        <v>Low</v>
      </c>
      <c r="Q134" s="3"/>
    </row>
    <row r="135" ht="15.75" customHeight="1">
      <c r="B135" s="3"/>
      <c r="F135" s="3"/>
      <c r="G135" s="3"/>
      <c r="H135" s="3"/>
      <c r="I135" s="3"/>
      <c r="J135" s="3"/>
      <c r="K135" s="3"/>
      <c r="L135" s="3"/>
      <c r="M135" s="3"/>
      <c r="O135" s="3">
        <f t="shared" si="1"/>
        <v>0</v>
      </c>
      <c r="P135" s="3" t="str">
        <f>IF(O135="","",IF(O135&gt;=Setup!$B$15,"High",IF(O135&gt;=Setup!$B$16,"Medium","Low")))</f>
        <v>Low</v>
      </c>
      <c r="Q135" s="3"/>
    </row>
    <row r="136" ht="15.75" customHeight="1">
      <c r="B136" s="3"/>
      <c r="F136" s="3"/>
      <c r="G136" s="3"/>
      <c r="H136" s="3"/>
      <c r="I136" s="3"/>
      <c r="J136" s="3"/>
      <c r="K136" s="3"/>
      <c r="L136" s="3"/>
      <c r="M136" s="3"/>
      <c r="O136" s="3">
        <f t="shared" si="1"/>
        <v>0</v>
      </c>
      <c r="P136" s="3" t="str">
        <f>IF(O136="","",IF(O136&gt;=Setup!$B$15,"High",IF(O136&gt;=Setup!$B$16,"Medium","Low")))</f>
        <v>Low</v>
      </c>
      <c r="Q136" s="3"/>
    </row>
    <row r="137" ht="15.75" customHeight="1">
      <c r="B137" s="3"/>
      <c r="F137" s="3"/>
      <c r="G137" s="3"/>
      <c r="H137" s="3"/>
      <c r="I137" s="3"/>
      <c r="J137" s="3"/>
      <c r="K137" s="3"/>
      <c r="L137" s="3"/>
      <c r="M137" s="3"/>
      <c r="O137" s="3">
        <f t="shared" si="1"/>
        <v>0</v>
      </c>
      <c r="P137" s="3" t="str">
        <f>IF(O137="","",IF(O137&gt;=Setup!$B$15,"High",IF(O137&gt;=Setup!$B$16,"Medium","Low")))</f>
        <v>Low</v>
      </c>
      <c r="Q137" s="3"/>
    </row>
    <row r="138" ht="15.75" customHeight="1">
      <c r="B138" s="3"/>
      <c r="F138" s="3"/>
      <c r="G138" s="3"/>
      <c r="H138" s="3"/>
      <c r="I138" s="3"/>
      <c r="J138" s="3"/>
      <c r="K138" s="3"/>
      <c r="L138" s="3"/>
      <c r="M138" s="3"/>
      <c r="O138" s="3">
        <f t="shared" si="1"/>
        <v>0</v>
      </c>
      <c r="P138" s="3" t="str">
        <f>IF(O138="","",IF(O138&gt;=Setup!$B$15,"High",IF(O138&gt;=Setup!$B$16,"Medium","Low")))</f>
        <v>Low</v>
      </c>
      <c r="Q138" s="3"/>
    </row>
    <row r="139" ht="15.75" customHeight="1">
      <c r="B139" s="3"/>
      <c r="F139" s="3"/>
      <c r="G139" s="3"/>
      <c r="H139" s="3"/>
      <c r="I139" s="3"/>
      <c r="J139" s="3"/>
      <c r="K139" s="3"/>
      <c r="L139" s="3"/>
      <c r="M139" s="3"/>
      <c r="O139" s="3">
        <f t="shared" si="1"/>
        <v>0</v>
      </c>
      <c r="P139" s="3" t="str">
        <f>IF(O139="","",IF(O139&gt;=Setup!$B$15,"High",IF(O139&gt;=Setup!$B$16,"Medium","Low")))</f>
        <v>Low</v>
      </c>
      <c r="Q139" s="3"/>
    </row>
    <row r="140" ht="15.75" customHeight="1">
      <c r="B140" s="3"/>
      <c r="F140" s="3"/>
      <c r="G140" s="3"/>
      <c r="H140" s="3"/>
      <c r="I140" s="3"/>
      <c r="J140" s="3"/>
      <c r="K140" s="3"/>
      <c r="L140" s="3"/>
      <c r="M140" s="3"/>
      <c r="O140" s="3">
        <f t="shared" si="1"/>
        <v>0</v>
      </c>
      <c r="P140" s="3" t="str">
        <f>IF(O140="","",IF(O140&gt;=Setup!$B$15,"High",IF(O140&gt;=Setup!$B$16,"Medium","Low")))</f>
        <v>Low</v>
      </c>
      <c r="Q140" s="3"/>
    </row>
    <row r="141" ht="15.75" customHeight="1">
      <c r="B141" s="3"/>
      <c r="F141" s="3"/>
      <c r="G141" s="3"/>
      <c r="H141" s="3"/>
      <c r="I141" s="3"/>
      <c r="J141" s="3"/>
      <c r="K141" s="3"/>
      <c r="L141" s="3"/>
      <c r="M141" s="3"/>
      <c r="O141" s="3">
        <f t="shared" si="1"/>
        <v>0</v>
      </c>
      <c r="P141" s="3" t="str">
        <f>IF(O141="","",IF(O141&gt;=Setup!$B$15,"High",IF(O141&gt;=Setup!$B$16,"Medium","Low")))</f>
        <v>Low</v>
      </c>
      <c r="Q141" s="3"/>
    </row>
    <row r="142" ht="15.75" customHeight="1">
      <c r="B142" s="3"/>
      <c r="F142" s="3"/>
      <c r="G142" s="3"/>
      <c r="H142" s="3"/>
      <c r="I142" s="3"/>
      <c r="J142" s="3"/>
      <c r="K142" s="3"/>
      <c r="L142" s="3"/>
      <c r="M142" s="3"/>
      <c r="O142" s="3">
        <f t="shared" si="1"/>
        <v>0</v>
      </c>
      <c r="P142" s="3" t="str">
        <f>IF(O142="","",IF(O142&gt;=Setup!$B$15,"High",IF(O142&gt;=Setup!$B$16,"Medium","Low")))</f>
        <v>Low</v>
      </c>
      <c r="Q142" s="3"/>
    </row>
    <row r="143" ht="15.75" customHeight="1">
      <c r="B143" s="3"/>
      <c r="F143" s="3"/>
      <c r="G143" s="3"/>
      <c r="H143" s="3"/>
      <c r="I143" s="3"/>
      <c r="J143" s="3"/>
      <c r="K143" s="3"/>
      <c r="L143" s="3"/>
      <c r="M143" s="3"/>
      <c r="O143" s="3">
        <f t="shared" si="1"/>
        <v>0</v>
      </c>
      <c r="P143" s="3" t="str">
        <f>IF(O143="","",IF(O143&gt;=Setup!$B$15,"High",IF(O143&gt;=Setup!$B$16,"Medium","Low")))</f>
        <v>Low</v>
      </c>
      <c r="Q143" s="3"/>
    </row>
    <row r="144" ht="15.75" customHeight="1">
      <c r="B144" s="3"/>
      <c r="F144" s="3"/>
      <c r="G144" s="3"/>
      <c r="H144" s="3"/>
      <c r="I144" s="3"/>
      <c r="J144" s="3"/>
      <c r="K144" s="3"/>
      <c r="L144" s="3"/>
      <c r="M144" s="3"/>
      <c r="O144" s="3">
        <f t="shared" si="1"/>
        <v>0</v>
      </c>
      <c r="P144" s="3" t="str">
        <f>IF(O144="","",IF(O144&gt;=Setup!$B$15,"High",IF(O144&gt;=Setup!$B$16,"Medium","Low")))</f>
        <v>Low</v>
      </c>
      <c r="Q144" s="3"/>
    </row>
    <row r="145" ht="15.75" customHeight="1">
      <c r="B145" s="3"/>
      <c r="F145" s="3"/>
      <c r="G145" s="3"/>
      <c r="H145" s="3"/>
      <c r="I145" s="3"/>
      <c r="J145" s="3"/>
      <c r="K145" s="3"/>
      <c r="L145" s="3"/>
      <c r="M145" s="3"/>
      <c r="O145" s="3">
        <f t="shared" si="1"/>
        <v>0</v>
      </c>
      <c r="P145" s="3" t="str">
        <f>IF(O145="","",IF(O145&gt;=Setup!$B$15,"High",IF(O145&gt;=Setup!$B$16,"Medium","Low")))</f>
        <v>Low</v>
      </c>
      <c r="Q145" s="3"/>
    </row>
    <row r="146" ht="15.75" customHeight="1">
      <c r="B146" s="3"/>
      <c r="F146" s="3"/>
      <c r="G146" s="3"/>
      <c r="H146" s="3"/>
      <c r="I146" s="3"/>
      <c r="J146" s="3"/>
      <c r="K146" s="3"/>
      <c r="L146" s="3"/>
      <c r="M146" s="3"/>
      <c r="O146" s="3">
        <f t="shared" si="1"/>
        <v>0</v>
      </c>
      <c r="P146" s="3" t="str">
        <f>IF(O146="","",IF(O146&gt;=Setup!$B$15,"High",IF(O146&gt;=Setup!$B$16,"Medium","Low")))</f>
        <v>Low</v>
      </c>
      <c r="Q146" s="3"/>
    </row>
    <row r="147" ht="15.75" customHeight="1">
      <c r="B147" s="3"/>
      <c r="F147" s="3"/>
      <c r="G147" s="3"/>
      <c r="H147" s="3"/>
      <c r="I147" s="3"/>
      <c r="J147" s="3"/>
      <c r="K147" s="3"/>
      <c r="L147" s="3"/>
      <c r="M147" s="3"/>
      <c r="O147" s="3">
        <f t="shared" si="1"/>
        <v>0</v>
      </c>
      <c r="P147" s="3" t="str">
        <f>IF(O147="","",IF(O147&gt;=Setup!$B$15,"High",IF(O147&gt;=Setup!$B$16,"Medium","Low")))</f>
        <v>Low</v>
      </c>
      <c r="Q147" s="3"/>
    </row>
    <row r="148" ht="15.75" customHeight="1">
      <c r="B148" s="3"/>
      <c r="F148" s="3"/>
      <c r="G148" s="3"/>
      <c r="H148" s="3"/>
      <c r="I148" s="3"/>
      <c r="J148" s="3"/>
      <c r="K148" s="3"/>
      <c r="L148" s="3"/>
      <c r="M148" s="3"/>
      <c r="O148" s="3">
        <f t="shared" si="1"/>
        <v>0</v>
      </c>
      <c r="P148" s="3" t="str">
        <f>IF(O148="","",IF(O148&gt;=Setup!$B$15,"High",IF(O148&gt;=Setup!$B$16,"Medium","Low")))</f>
        <v>Low</v>
      </c>
      <c r="Q148" s="3"/>
    </row>
    <row r="149" ht="15.75" customHeight="1">
      <c r="B149" s="3"/>
      <c r="F149" s="3"/>
      <c r="G149" s="3"/>
      <c r="H149" s="3"/>
      <c r="I149" s="3"/>
      <c r="J149" s="3"/>
      <c r="K149" s="3"/>
      <c r="L149" s="3"/>
      <c r="M149" s="3"/>
      <c r="O149" s="3">
        <f t="shared" si="1"/>
        <v>0</v>
      </c>
      <c r="P149" s="3" t="str">
        <f>IF(O149="","",IF(O149&gt;=Setup!$B$15,"High",IF(O149&gt;=Setup!$B$16,"Medium","Low")))</f>
        <v>Low</v>
      </c>
      <c r="Q149" s="3"/>
    </row>
    <row r="150" ht="15.75" customHeight="1">
      <c r="B150" s="3"/>
      <c r="F150" s="3"/>
      <c r="G150" s="3"/>
      <c r="H150" s="3"/>
      <c r="I150" s="3"/>
      <c r="J150" s="3"/>
      <c r="K150" s="3"/>
      <c r="L150" s="3"/>
      <c r="M150" s="3"/>
      <c r="O150" s="3">
        <f t="shared" si="1"/>
        <v>0</v>
      </c>
      <c r="P150" s="3" t="str">
        <f>IF(O150="","",IF(O150&gt;=Setup!$B$15,"High",IF(O150&gt;=Setup!$B$16,"Medium","Low")))</f>
        <v>Low</v>
      </c>
      <c r="Q150" s="3"/>
    </row>
    <row r="151" ht="15.75" customHeight="1">
      <c r="B151" s="3"/>
      <c r="F151" s="3"/>
      <c r="G151" s="3"/>
      <c r="H151" s="3"/>
      <c r="I151" s="3"/>
      <c r="J151" s="3"/>
      <c r="K151" s="3"/>
      <c r="L151" s="3"/>
      <c r="M151" s="3"/>
      <c r="O151" s="3">
        <f t="shared" si="1"/>
        <v>0</v>
      </c>
      <c r="P151" s="3" t="str">
        <f>IF(O151="","",IF(O151&gt;=Setup!$B$15,"High",IF(O151&gt;=Setup!$B$16,"Medium","Low")))</f>
        <v>Low</v>
      </c>
      <c r="Q151" s="3"/>
    </row>
    <row r="152" ht="15.75" customHeight="1">
      <c r="B152" s="3"/>
      <c r="F152" s="3"/>
      <c r="G152" s="3"/>
      <c r="H152" s="3"/>
      <c r="I152" s="3"/>
      <c r="J152" s="3"/>
      <c r="K152" s="3"/>
      <c r="L152" s="3"/>
      <c r="M152" s="3"/>
      <c r="O152" s="3">
        <f t="shared" si="1"/>
        <v>0</v>
      </c>
      <c r="P152" s="3" t="str">
        <f>IF(O152="","",IF(O152&gt;=Setup!$B$15,"High",IF(O152&gt;=Setup!$B$16,"Medium","Low")))</f>
        <v>Low</v>
      </c>
      <c r="Q152" s="3"/>
    </row>
    <row r="153" ht="15.75" customHeight="1">
      <c r="B153" s="3"/>
      <c r="F153" s="3"/>
      <c r="G153" s="3"/>
      <c r="H153" s="3"/>
      <c r="I153" s="3"/>
      <c r="J153" s="3"/>
      <c r="K153" s="3"/>
      <c r="L153" s="3"/>
      <c r="M153" s="3"/>
      <c r="O153" s="3">
        <f t="shared" si="1"/>
        <v>0</v>
      </c>
      <c r="P153" s="3" t="str">
        <f>IF(O153="","",IF(O153&gt;=Setup!$B$15,"High",IF(O153&gt;=Setup!$B$16,"Medium","Low")))</f>
        <v>Low</v>
      </c>
      <c r="Q153" s="3"/>
    </row>
    <row r="154" ht="15.75" customHeight="1">
      <c r="B154" s="3"/>
      <c r="F154" s="3"/>
      <c r="G154" s="3"/>
      <c r="H154" s="3"/>
      <c r="I154" s="3"/>
      <c r="J154" s="3"/>
      <c r="K154" s="3"/>
      <c r="L154" s="3"/>
      <c r="M154" s="3"/>
      <c r="O154" s="3">
        <f t="shared" si="1"/>
        <v>0</v>
      </c>
      <c r="P154" s="3" t="str">
        <f>IF(O154="","",IF(O154&gt;=Setup!$B$15,"High",IF(O154&gt;=Setup!$B$16,"Medium","Low")))</f>
        <v>Low</v>
      </c>
      <c r="Q154" s="3"/>
    </row>
    <row r="155" ht="15.75" customHeight="1">
      <c r="B155" s="3"/>
      <c r="F155" s="3"/>
      <c r="G155" s="3"/>
      <c r="H155" s="3"/>
      <c r="I155" s="3"/>
      <c r="J155" s="3"/>
      <c r="K155" s="3"/>
      <c r="L155" s="3"/>
      <c r="M155" s="3"/>
      <c r="O155" s="3">
        <f t="shared" si="1"/>
        <v>0</v>
      </c>
      <c r="P155" s="3" t="str">
        <f>IF(O155="","",IF(O155&gt;=Setup!$B$15,"High",IF(O155&gt;=Setup!$B$16,"Medium","Low")))</f>
        <v>Low</v>
      </c>
      <c r="Q155" s="3"/>
    </row>
    <row r="156" ht="15.75" customHeight="1">
      <c r="B156" s="3"/>
      <c r="F156" s="3"/>
      <c r="G156" s="3"/>
      <c r="H156" s="3"/>
      <c r="I156" s="3"/>
      <c r="J156" s="3"/>
      <c r="K156" s="3"/>
      <c r="L156" s="3"/>
      <c r="M156" s="3"/>
      <c r="O156" s="3">
        <f t="shared" si="1"/>
        <v>0</v>
      </c>
      <c r="P156" s="3" t="str">
        <f>IF(O156="","",IF(O156&gt;=Setup!$B$15,"High",IF(O156&gt;=Setup!$B$16,"Medium","Low")))</f>
        <v>Low</v>
      </c>
      <c r="Q156" s="3"/>
    </row>
    <row r="157" ht="15.75" customHeight="1">
      <c r="B157" s="3"/>
      <c r="F157" s="3"/>
      <c r="G157" s="3"/>
      <c r="H157" s="3"/>
      <c r="I157" s="3"/>
      <c r="J157" s="3"/>
      <c r="K157" s="3"/>
      <c r="L157" s="3"/>
      <c r="M157" s="3"/>
      <c r="O157" s="3">
        <f t="shared" si="1"/>
        <v>0</v>
      </c>
      <c r="P157" s="3" t="str">
        <f>IF(O157="","",IF(O157&gt;=Setup!$B$15,"High",IF(O157&gt;=Setup!$B$16,"Medium","Low")))</f>
        <v>Low</v>
      </c>
      <c r="Q157" s="3"/>
    </row>
    <row r="158" ht="15.75" customHeight="1">
      <c r="B158" s="3"/>
      <c r="F158" s="3"/>
      <c r="G158" s="3"/>
      <c r="H158" s="3"/>
      <c r="I158" s="3"/>
      <c r="J158" s="3"/>
      <c r="K158" s="3"/>
      <c r="L158" s="3"/>
      <c r="M158" s="3"/>
      <c r="O158" s="3">
        <f t="shared" si="1"/>
        <v>0</v>
      </c>
      <c r="P158" s="3" t="str">
        <f>IF(O158="","",IF(O158&gt;=Setup!$B$15,"High",IF(O158&gt;=Setup!$B$16,"Medium","Low")))</f>
        <v>Low</v>
      </c>
      <c r="Q158" s="3"/>
    </row>
    <row r="159" ht="15.75" customHeight="1">
      <c r="B159" s="3"/>
      <c r="F159" s="3"/>
      <c r="G159" s="3"/>
      <c r="H159" s="3"/>
      <c r="I159" s="3"/>
      <c r="J159" s="3"/>
      <c r="K159" s="3"/>
      <c r="L159" s="3"/>
      <c r="M159" s="3"/>
      <c r="O159" s="3">
        <f t="shared" si="1"/>
        <v>0</v>
      </c>
      <c r="P159" s="3" t="str">
        <f>IF(O159="","",IF(O159&gt;=Setup!$B$15,"High",IF(O159&gt;=Setup!$B$16,"Medium","Low")))</f>
        <v>Low</v>
      </c>
      <c r="Q159" s="3"/>
    </row>
    <row r="160" ht="15.75" customHeight="1">
      <c r="B160" s="3"/>
      <c r="F160" s="3"/>
      <c r="G160" s="3"/>
      <c r="H160" s="3"/>
      <c r="I160" s="3"/>
      <c r="J160" s="3"/>
      <c r="K160" s="3"/>
      <c r="L160" s="3"/>
      <c r="M160" s="3"/>
      <c r="O160" s="3">
        <f t="shared" si="1"/>
        <v>0</v>
      </c>
      <c r="P160" s="3" t="str">
        <f>IF(O160="","",IF(O160&gt;=Setup!$B$15,"High",IF(O160&gt;=Setup!$B$16,"Medium","Low")))</f>
        <v>Low</v>
      </c>
      <c r="Q160" s="3"/>
    </row>
    <row r="161" ht="15.75" customHeight="1">
      <c r="B161" s="3"/>
      <c r="F161" s="3"/>
      <c r="G161" s="3"/>
      <c r="H161" s="3"/>
      <c r="I161" s="3"/>
      <c r="J161" s="3"/>
      <c r="K161" s="3"/>
      <c r="L161" s="3"/>
      <c r="M161" s="3"/>
      <c r="O161" s="3">
        <f t="shared" si="1"/>
        <v>0</v>
      </c>
      <c r="P161" s="3" t="str">
        <f>IF(O161="","",IF(O161&gt;=Setup!$B$15,"High",IF(O161&gt;=Setup!$B$16,"Medium","Low")))</f>
        <v>Low</v>
      </c>
      <c r="Q161" s="3"/>
    </row>
    <row r="162" ht="15.75" customHeight="1">
      <c r="B162" s="3"/>
      <c r="F162" s="3"/>
      <c r="G162" s="3"/>
      <c r="H162" s="3"/>
      <c r="I162" s="3"/>
      <c r="J162" s="3"/>
      <c r="K162" s="3"/>
      <c r="L162" s="3"/>
      <c r="M162" s="3"/>
      <c r="O162" s="3">
        <f t="shared" si="1"/>
        <v>0</v>
      </c>
      <c r="P162" s="3" t="str">
        <f>IF(O162="","",IF(O162&gt;=Setup!$B$15,"High",IF(O162&gt;=Setup!$B$16,"Medium","Low")))</f>
        <v>Low</v>
      </c>
      <c r="Q162" s="3"/>
    </row>
    <row r="163" ht="15.75" customHeight="1">
      <c r="B163" s="3"/>
      <c r="F163" s="3"/>
      <c r="G163" s="3"/>
      <c r="H163" s="3"/>
      <c r="I163" s="3"/>
      <c r="J163" s="3"/>
      <c r="K163" s="3"/>
      <c r="L163" s="3"/>
      <c r="M163" s="3"/>
      <c r="O163" s="3">
        <f t="shared" si="1"/>
        <v>0</v>
      </c>
      <c r="P163" s="3" t="str">
        <f>IF(O163="","",IF(O163&gt;=Setup!$B$15,"High",IF(O163&gt;=Setup!$B$16,"Medium","Low")))</f>
        <v>Low</v>
      </c>
      <c r="Q163" s="3"/>
    </row>
    <row r="164" ht="15.75" customHeight="1">
      <c r="B164" s="3"/>
      <c r="F164" s="3"/>
      <c r="G164" s="3"/>
      <c r="H164" s="3"/>
      <c r="I164" s="3"/>
      <c r="J164" s="3"/>
      <c r="K164" s="3"/>
      <c r="L164" s="3"/>
      <c r="M164" s="3"/>
      <c r="O164" s="3">
        <f t="shared" si="1"/>
        <v>0</v>
      </c>
      <c r="P164" s="3" t="str">
        <f>IF(O164="","",IF(O164&gt;=Setup!$B$15,"High",IF(O164&gt;=Setup!$B$16,"Medium","Low")))</f>
        <v>Low</v>
      </c>
      <c r="Q164" s="3"/>
    </row>
    <row r="165" ht="15.75" customHeight="1">
      <c r="B165" s="3"/>
      <c r="F165" s="3"/>
      <c r="G165" s="3"/>
      <c r="H165" s="3"/>
      <c r="I165" s="3"/>
      <c r="J165" s="3"/>
      <c r="K165" s="3"/>
      <c r="L165" s="3"/>
      <c r="M165" s="3"/>
      <c r="O165" s="3">
        <f t="shared" si="1"/>
        <v>0</v>
      </c>
      <c r="P165" s="3" t="str">
        <f>IF(O165="","",IF(O165&gt;=Setup!$B$15,"High",IF(O165&gt;=Setup!$B$16,"Medium","Low")))</f>
        <v>Low</v>
      </c>
      <c r="Q165" s="3"/>
    </row>
    <row r="166" ht="15.75" customHeight="1">
      <c r="B166" s="3"/>
      <c r="F166" s="3"/>
      <c r="G166" s="3"/>
      <c r="H166" s="3"/>
      <c r="I166" s="3"/>
      <c r="J166" s="3"/>
      <c r="K166" s="3"/>
      <c r="L166" s="3"/>
      <c r="M166" s="3"/>
      <c r="O166" s="3">
        <f t="shared" si="1"/>
        <v>0</v>
      </c>
      <c r="P166" s="3" t="str">
        <f>IF(O166="","",IF(O166&gt;=Setup!$B$15,"High",IF(O166&gt;=Setup!$B$16,"Medium","Low")))</f>
        <v>Low</v>
      </c>
      <c r="Q166" s="3"/>
    </row>
    <row r="167" ht="15.75" customHeight="1">
      <c r="B167" s="3"/>
      <c r="F167" s="3"/>
      <c r="G167" s="3"/>
      <c r="H167" s="3"/>
      <c r="I167" s="3"/>
      <c r="J167" s="3"/>
      <c r="K167" s="3"/>
      <c r="L167" s="3"/>
      <c r="M167" s="3"/>
      <c r="O167" s="3">
        <f t="shared" si="1"/>
        <v>0</v>
      </c>
      <c r="P167" s="3" t="str">
        <f>IF(O167="","",IF(O167&gt;=Setup!$B$15,"High",IF(O167&gt;=Setup!$B$16,"Medium","Low")))</f>
        <v>Low</v>
      </c>
      <c r="Q167" s="3"/>
    </row>
    <row r="168" ht="15.75" customHeight="1">
      <c r="B168" s="3"/>
      <c r="F168" s="3"/>
      <c r="G168" s="3"/>
      <c r="H168" s="3"/>
      <c r="I168" s="3"/>
      <c r="J168" s="3"/>
      <c r="K168" s="3"/>
      <c r="L168" s="3"/>
      <c r="M168" s="3"/>
      <c r="O168" s="3">
        <f t="shared" si="1"/>
        <v>0</v>
      </c>
      <c r="P168" s="3" t="str">
        <f>IF(O168="","",IF(O168&gt;=Setup!$B$15,"High",IF(O168&gt;=Setup!$B$16,"Medium","Low")))</f>
        <v>Low</v>
      </c>
      <c r="Q168" s="3"/>
    </row>
    <row r="169" ht="15.75" customHeight="1">
      <c r="B169" s="3"/>
      <c r="F169" s="3"/>
      <c r="G169" s="3"/>
      <c r="H169" s="3"/>
      <c r="I169" s="3"/>
      <c r="J169" s="3"/>
      <c r="K169" s="3"/>
      <c r="L169" s="3"/>
      <c r="M169" s="3"/>
      <c r="O169" s="3">
        <f t="shared" si="1"/>
        <v>0</v>
      </c>
      <c r="P169" s="3" t="str">
        <f>IF(O169="","",IF(O169&gt;=Setup!$B$15,"High",IF(O169&gt;=Setup!$B$16,"Medium","Low")))</f>
        <v>Low</v>
      </c>
      <c r="Q169" s="3"/>
    </row>
    <row r="170" ht="15.75" customHeight="1">
      <c r="B170" s="3"/>
      <c r="F170" s="3"/>
      <c r="G170" s="3"/>
      <c r="H170" s="3"/>
      <c r="I170" s="3"/>
      <c r="J170" s="3"/>
      <c r="K170" s="3"/>
      <c r="L170" s="3"/>
      <c r="M170" s="3"/>
      <c r="O170" s="3">
        <f t="shared" si="1"/>
        <v>0</v>
      </c>
      <c r="P170" s="3" t="str">
        <f>IF(O170="","",IF(O170&gt;=Setup!$B$15,"High",IF(O170&gt;=Setup!$B$16,"Medium","Low")))</f>
        <v>Low</v>
      </c>
      <c r="Q170" s="3"/>
    </row>
    <row r="171" ht="15.75" customHeight="1">
      <c r="B171" s="3"/>
      <c r="F171" s="3"/>
      <c r="G171" s="3"/>
      <c r="H171" s="3"/>
      <c r="I171" s="3"/>
      <c r="J171" s="3"/>
      <c r="K171" s="3"/>
      <c r="L171" s="3"/>
      <c r="M171" s="3"/>
      <c r="O171" s="3">
        <f t="shared" si="1"/>
        <v>0</v>
      </c>
      <c r="P171" s="3" t="str">
        <f>IF(O171="","",IF(O171&gt;=Setup!$B$15,"High",IF(O171&gt;=Setup!$B$16,"Medium","Low")))</f>
        <v>Low</v>
      </c>
      <c r="Q171" s="3"/>
    </row>
    <row r="172" ht="15.75" customHeight="1">
      <c r="B172" s="3"/>
      <c r="F172" s="3"/>
      <c r="G172" s="3"/>
      <c r="H172" s="3"/>
      <c r="I172" s="3"/>
      <c r="J172" s="3"/>
      <c r="K172" s="3"/>
      <c r="L172" s="3"/>
      <c r="M172" s="3"/>
      <c r="O172" s="3">
        <f t="shared" si="1"/>
        <v>0</v>
      </c>
      <c r="P172" s="3" t="str">
        <f>IF(O172="","",IF(O172&gt;=Setup!$B$15,"High",IF(O172&gt;=Setup!$B$16,"Medium","Low")))</f>
        <v>Low</v>
      </c>
      <c r="Q172" s="3"/>
    </row>
    <row r="173" ht="15.75" customHeight="1">
      <c r="B173" s="3"/>
      <c r="F173" s="3"/>
      <c r="G173" s="3"/>
      <c r="H173" s="3"/>
      <c r="I173" s="3"/>
      <c r="J173" s="3"/>
      <c r="K173" s="3"/>
      <c r="L173" s="3"/>
      <c r="M173" s="3"/>
      <c r="O173" s="3">
        <f t="shared" si="1"/>
        <v>0</v>
      </c>
      <c r="P173" s="3" t="str">
        <f>IF(O173="","",IF(O173&gt;=Setup!$B$15,"High",IF(O173&gt;=Setup!$B$16,"Medium","Low")))</f>
        <v>Low</v>
      </c>
      <c r="Q173" s="3"/>
    </row>
    <row r="174" ht="15.75" customHeight="1">
      <c r="B174" s="3"/>
      <c r="F174" s="3"/>
      <c r="G174" s="3"/>
      <c r="H174" s="3"/>
      <c r="I174" s="3"/>
      <c r="J174" s="3"/>
      <c r="K174" s="3"/>
      <c r="L174" s="3"/>
      <c r="M174" s="3"/>
      <c r="O174" s="3">
        <f t="shared" si="1"/>
        <v>0</v>
      </c>
      <c r="P174" s="3" t="str">
        <f>IF(O174="","",IF(O174&gt;=Setup!$B$15,"High",IF(O174&gt;=Setup!$B$16,"Medium","Low")))</f>
        <v>Low</v>
      </c>
      <c r="Q174" s="3"/>
    </row>
    <row r="175" ht="15.75" customHeight="1">
      <c r="B175" s="3"/>
      <c r="F175" s="3"/>
      <c r="G175" s="3"/>
      <c r="H175" s="3"/>
      <c r="I175" s="3"/>
      <c r="J175" s="3"/>
      <c r="K175" s="3"/>
      <c r="L175" s="3"/>
      <c r="M175" s="3"/>
      <c r="O175" s="3">
        <f t="shared" si="1"/>
        <v>0</v>
      </c>
      <c r="P175" s="3" t="str">
        <f>IF(O175="","",IF(O175&gt;=Setup!$B$15,"High",IF(O175&gt;=Setup!$B$16,"Medium","Low")))</f>
        <v>Low</v>
      </c>
      <c r="Q175" s="3"/>
    </row>
    <row r="176" ht="15.75" customHeight="1">
      <c r="B176" s="3"/>
      <c r="F176" s="3"/>
      <c r="G176" s="3"/>
      <c r="H176" s="3"/>
      <c r="I176" s="3"/>
      <c r="J176" s="3"/>
      <c r="K176" s="3"/>
      <c r="L176" s="3"/>
      <c r="M176" s="3"/>
      <c r="O176" s="3">
        <f t="shared" si="1"/>
        <v>0</v>
      </c>
      <c r="P176" s="3" t="str">
        <f>IF(O176="","",IF(O176&gt;=Setup!$B$15,"High",IF(O176&gt;=Setup!$B$16,"Medium","Low")))</f>
        <v>Low</v>
      </c>
      <c r="Q176" s="3"/>
    </row>
    <row r="177" ht="15.75" customHeight="1">
      <c r="B177" s="3"/>
      <c r="F177" s="3"/>
      <c r="G177" s="3"/>
      <c r="H177" s="3"/>
      <c r="I177" s="3"/>
      <c r="J177" s="3"/>
      <c r="K177" s="3"/>
      <c r="L177" s="3"/>
      <c r="M177" s="3"/>
      <c r="O177" s="3">
        <f t="shared" si="1"/>
        <v>0</v>
      </c>
      <c r="P177" s="3" t="str">
        <f>IF(O177="","",IF(O177&gt;=Setup!$B$15,"High",IF(O177&gt;=Setup!$B$16,"Medium","Low")))</f>
        <v>Low</v>
      </c>
      <c r="Q177" s="3"/>
    </row>
    <row r="178" ht="15.75" customHeight="1">
      <c r="B178" s="3"/>
      <c r="F178" s="3"/>
      <c r="G178" s="3"/>
      <c r="H178" s="3"/>
      <c r="I178" s="3"/>
      <c r="J178" s="3"/>
      <c r="K178" s="3"/>
      <c r="L178" s="3"/>
      <c r="M178" s="3"/>
      <c r="O178" s="3">
        <f t="shared" si="1"/>
        <v>0</v>
      </c>
      <c r="P178" s="3" t="str">
        <f>IF(O178="","",IF(O178&gt;=Setup!$B$15,"High",IF(O178&gt;=Setup!$B$16,"Medium","Low")))</f>
        <v>Low</v>
      </c>
      <c r="Q178" s="3"/>
    </row>
    <row r="179" ht="15.75" customHeight="1">
      <c r="B179" s="3"/>
      <c r="F179" s="3"/>
      <c r="G179" s="3"/>
      <c r="H179" s="3"/>
      <c r="I179" s="3"/>
      <c r="J179" s="3"/>
      <c r="K179" s="3"/>
      <c r="L179" s="3"/>
      <c r="M179" s="3"/>
      <c r="O179" s="3">
        <f t="shared" si="1"/>
        <v>0</v>
      </c>
      <c r="P179" s="3" t="str">
        <f>IF(O179="","",IF(O179&gt;=Setup!$B$15,"High",IF(O179&gt;=Setup!$B$16,"Medium","Low")))</f>
        <v>Low</v>
      </c>
      <c r="Q179" s="3"/>
    </row>
    <row r="180" ht="15.75" customHeight="1">
      <c r="B180" s="3"/>
      <c r="F180" s="3"/>
      <c r="G180" s="3"/>
      <c r="H180" s="3"/>
      <c r="I180" s="3"/>
      <c r="J180" s="3"/>
      <c r="K180" s="3"/>
      <c r="L180" s="3"/>
      <c r="M180" s="3"/>
      <c r="O180" s="3">
        <f t="shared" si="1"/>
        <v>0</v>
      </c>
      <c r="P180" s="3" t="str">
        <f>IF(O180="","",IF(O180&gt;=Setup!$B$15,"High",IF(O180&gt;=Setup!$B$16,"Medium","Low")))</f>
        <v>Low</v>
      </c>
      <c r="Q180" s="3"/>
    </row>
    <row r="181" ht="15.75" customHeight="1">
      <c r="B181" s="3"/>
      <c r="F181" s="3"/>
      <c r="G181" s="3"/>
      <c r="H181" s="3"/>
      <c r="I181" s="3"/>
      <c r="J181" s="3"/>
      <c r="K181" s="3"/>
      <c r="L181" s="3"/>
      <c r="M181" s="3"/>
      <c r="O181" s="3">
        <f t="shared" si="1"/>
        <v>0</v>
      </c>
      <c r="P181" s="3" t="str">
        <f>IF(O181="","",IF(O181&gt;=Setup!$B$15,"High",IF(O181&gt;=Setup!$B$16,"Medium","Low")))</f>
        <v>Low</v>
      </c>
      <c r="Q181" s="3"/>
    </row>
    <row r="182" ht="15.75" customHeight="1">
      <c r="B182" s="3"/>
      <c r="F182" s="3"/>
      <c r="G182" s="3"/>
      <c r="H182" s="3"/>
      <c r="I182" s="3"/>
      <c r="J182" s="3"/>
      <c r="K182" s="3"/>
      <c r="L182" s="3"/>
      <c r="M182" s="3"/>
      <c r="O182" s="3">
        <f t="shared" si="1"/>
        <v>0</v>
      </c>
      <c r="P182" s="3" t="str">
        <f>IF(O182="","",IF(O182&gt;=Setup!$B$15,"High",IF(O182&gt;=Setup!$B$16,"Medium","Low")))</f>
        <v>Low</v>
      </c>
      <c r="Q182" s="3"/>
    </row>
    <row r="183" ht="15.75" customHeight="1">
      <c r="B183" s="3"/>
      <c r="F183" s="3"/>
      <c r="G183" s="3"/>
      <c r="H183" s="3"/>
      <c r="I183" s="3"/>
      <c r="J183" s="3"/>
      <c r="K183" s="3"/>
      <c r="L183" s="3"/>
      <c r="M183" s="3"/>
      <c r="O183" s="3">
        <f t="shared" si="1"/>
        <v>0</v>
      </c>
      <c r="P183" s="3" t="str">
        <f>IF(O183="","",IF(O183&gt;=Setup!$B$15,"High",IF(O183&gt;=Setup!$B$16,"Medium","Low")))</f>
        <v>Low</v>
      </c>
      <c r="Q183" s="3"/>
    </row>
    <row r="184" ht="15.75" customHeight="1">
      <c r="B184" s="3"/>
      <c r="F184" s="3"/>
      <c r="G184" s="3"/>
      <c r="H184" s="3"/>
      <c r="I184" s="3"/>
      <c r="J184" s="3"/>
      <c r="K184" s="3"/>
      <c r="L184" s="3"/>
      <c r="M184" s="3"/>
      <c r="O184" s="3">
        <f t="shared" si="1"/>
        <v>0</v>
      </c>
      <c r="P184" s="3" t="str">
        <f>IF(O184="","",IF(O184&gt;=Setup!$B$15,"High",IF(O184&gt;=Setup!$B$16,"Medium","Low")))</f>
        <v>Low</v>
      </c>
      <c r="Q184" s="3"/>
    </row>
    <row r="185" ht="15.75" customHeight="1">
      <c r="B185" s="3"/>
      <c r="F185" s="3"/>
      <c r="G185" s="3"/>
      <c r="H185" s="3"/>
      <c r="I185" s="3"/>
      <c r="J185" s="3"/>
      <c r="K185" s="3"/>
      <c r="L185" s="3"/>
      <c r="M185" s="3"/>
      <c r="O185" s="3">
        <f t="shared" si="1"/>
        <v>0</v>
      </c>
      <c r="P185" s="3" t="str">
        <f>IF(O185="","",IF(O185&gt;=Setup!$B$15,"High",IF(O185&gt;=Setup!$B$16,"Medium","Low")))</f>
        <v>Low</v>
      </c>
      <c r="Q185" s="3"/>
    </row>
    <row r="186" ht="15.75" customHeight="1">
      <c r="B186" s="3"/>
      <c r="F186" s="3"/>
      <c r="G186" s="3"/>
      <c r="H186" s="3"/>
      <c r="I186" s="3"/>
      <c r="J186" s="3"/>
      <c r="K186" s="3"/>
      <c r="L186" s="3"/>
      <c r="M186" s="3"/>
      <c r="O186" s="3">
        <f t="shared" si="1"/>
        <v>0</v>
      </c>
      <c r="P186" s="3" t="str">
        <f>IF(O186="","",IF(O186&gt;=Setup!$B$15,"High",IF(O186&gt;=Setup!$B$16,"Medium","Low")))</f>
        <v>Low</v>
      </c>
      <c r="Q186" s="3"/>
    </row>
    <row r="187" ht="15.75" customHeight="1">
      <c r="B187" s="3"/>
      <c r="F187" s="3"/>
      <c r="G187" s="3"/>
      <c r="H187" s="3"/>
      <c r="I187" s="3"/>
      <c r="J187" s="3"/>
      <c r="K187" s="3"/>
      <c r="L187" s="3"/>
      <c r="M187" s="3"/>
      <c r="O187" s="3">
        <f t="shared" si="1"/>
        <v>0</v>
      </c>
      <c r="P187" s="3" t="str">
        <f>IF(O187="","",IF(O187&gt;=Setup!$B$15,"High",IF(O187&gt;=Setup!$B$16,"Medium","Low")))</f>
        <v>Low</v>
      </c>
      <c r="Q187" s="3"/>
    </row>
    <row r="188" ht="15.75" customHeight="1">
      <c r="B188" s="3"/>
      <c r="F188" s="3"/>
      <c r="G188" s="3"/>
      <c r="H188" s="3"/>
      <c r="I188" s="3"/>
      <c r="J188" s="3"/>
      <c r="K188" s="3"/>
      <c r="L188" s="3"/>
      <c r="M188" s="3"/>
      <c r="O188" s="3">
        <f t="shared" si="1"/>
        <v>0</v>
      </c>
      <c r="P188" s="3" t="str">
        <f>IF(O188="","",IF(O188&gt;=Setup!$B$15,"High",IF(O188&gt;=Setup!$B$16,"Medium","Low")))</f>
        <v>Low</v>
      </c>
      <c r="Q188" s="3"/>
    </row>
    <row r="189" ht="15.75" customHeight="1">
      <c r="B189" s="3"/>
      <c r="F189" s="3"/>
      <c r="G189" s="3"/>
      <c r="H189" s="3"/>
      <c r="I189" s="3"/>
      <c r="J189" s="3"/>
      <c r="K189" s="3"/>
      <c r="L189" s="3"/>
      <c r="M189" s="3"/>
      <c r="O189" s="3">
        <f t="shared" si="1"/>
        <v>0</v>
      </c>
      <c r="P189" s="3" t="str">
        <f>IF(O189="","",IF(O189&gt;=Setup!$B$15,"High",IF(O189&gt;=Setup!$B$16,"Medium","Low")))</f>
        <v>Low</v>
      </c>
      <c r="Q189" s="3"/>
    </row>
    <row r="190" ht="15.75" customHeight="1">
      <c r="B190" s="3"/>
      <c r="F190" s="3"/>
      <c r="G190" s="3"/>
      <c r="H190" s="3"/>
      <c r="I190" s="3"/>
      <c r="J190" s="3"/>
      <c r="K190" s="3"/>
      <c r="L190" s="3"/>
      <c r="M190" s="3"/>
      <c r="O190" s="3">
        <f t="shared" si="1"/>
        <v>0</v>
      </c>
      <c r="P190" s="3" t="str">
        <f>IF(O190="","",IF(O190&gt;=Setup!$B$15,"High",IF(O190&gt;=Setup!$B$16,"Medium","Low")))</f>
        <v>Low</v>
      </c>
      <c r="Q190" s="3"/>
    </row>
    <row r="191" ht="15.75" customHeight="1">
      <c r="B191" s="3"/>
      <c r="F191" s="3"/>
      <c r="G191" s="3"/>
      <c r="H191" s="3"/>
      <c r="I191" s="3"/>
      <c r="J191" s="3"/>
      <c r="K191" s="3"/>
      <c r="L191" s="3"/>
      <c r="M191" s="3"/>
      <c r="O191" s="3">
        <f t="shared" si="1"/>
        <v>0</v>
      </c>
      <c r="P191" s="3" t="str">
        <f>IF(O191="","",IF(O191&gt;=Setup!$B$15,"High",IF(O191&gt;=Setup!$B$16,"Medium","Low")))</f>
        <v>Low</v>
      </c>
      <c r="Q191" s="3"/>
    </row>
    <row r="192" ht="15.75" customHeight="1">
      <c r="B192" s="3"/>
      <c r="F192" s="3"/>
      <c r="G192" s="3"/>
      <c r="H192" s="3"/>
      <c r="I192" s="3"/>
      <c r="J192" s="3"/>
      <c r="K192" s="3"/>
      <c r="L192" s="3"/>
      <c r="M192" s="3"/>
      <c r="O192" s="3">
        <f t="shared" si="1"/>
        <v>0</v>
      </c>
      <c r="P192" s="3" t="str">
        <f>IF(O192="","",IF(O192&gt;=Setup!$B$15,"High",IF(O192&gt;=Setup!$B$16,"Medium","Low")))</f>
        <v>Low</v>
      </c>
      <c r="Q192" s="3"/>
    </row>
    <row r="193" ht="15.75" customHeight="1">
      <c r="B193" s="3"/>
      <c r="F193" s="3"/>
      <c r="G193" s="3"/>
      <c r="H193" s="3"/>
      <c r="I193" s="3"/>
      <c r="J193" s="3"/>
      <c r="K193" s="3"/>
      <c r="L193" s="3"/>
      <c r="M193" s="3"/>
      <c r="O193" s="3">
        <f t="shared" si="1"/>
        <v>0</v>
      </c>
      <c r="P193" s="3" t="str">
        <f>IF(O193="","",IF(O193&gt;=Setup!$B$15,"High",IF(O193&gt;=Setup!$B$16,"Medium","Low")))</f>
        <v>Low</v>
      </c>
      <c r="Q193" s="3"/>
    </row>
    <row r="194" ht="15.75" customHeight="1">
      <c r="B194" s="3"/>
      <c r="F194" s="3"/>
      <c r="G194" s="3"/>
      <c r="H194" s="3"/>
      <c r="I194" s="3"/>
      <c r="J194" s="3"/>
      <c r="K194" s="3"/>
      <c r="L194" s="3"/>
      <c r="M194" s="3"/>
      <c r="O194" s="3">
        <f t="shared" si="1"/>
        <v>0</v>
      </c>
      <c r="P194" s="3" t="str">
        <f>IF(O194="","",IF(O194&gt;=Setup!$B$15,"High",IF(O194&gt;=Setup!$B$16,"Medium","Low")))</f>
        <v>Low</v>
      </c>
      <c r="Q194" s="3"/>
    </row>
    <row r="195" ht="15.75" customHeight="1">
      <c r="B195" s="3"/>
      <c r="F195" s="3"/>
      <c r="G195" s="3"/>
      <c r="H195" s="3"/>
      <c r="I195" s="3"/>
      <c r="J195" s="3"/>
      <c r="K195" s="3"/>
      <c r="L195" s="3"/>
      <c r="M195" s="3"/>
      <c r="O195" s="3">
        <f t="shared" si="1"/>
        <v>0</v>
      </c>
      <c r="P195" s="3" t="str">
        <f>IF(O195="","",IF(O195&gt;=Setup!$B$15,"High",IF(O195&gt;=Setup!$B$16,"Medium","Low")))</f>
        <v>Low</v>
      </c>
      <c r="Q195" s="3"/>
    </row>
    <row r="196" ht="15.75" customHeight="1">
      <c r="B196" s="3"/>
      <c r="F196" s="3"/>
      <c r="G196" s="3"/>
      <c r="H196" s="3"/>
      <c r="I196" s="3"/>
      <c r="J196" s="3"/>
      <c r="K196" s="3"/>
      <c r="L196" s="3"/>
      <c r="M196" s="3"/>
      <c r="O196" s="3">
        <f t="shared" si="1"/>
        <v>0</v>
      </c>
      <c r="P196" s="3" t="str">
        <f>IF(O196="","",IF(O196&gt;=Setup!$B$15,"High",IF(O196&gt;=Setup!$B$16,"Medium","Low")))</f>
        <v>Low</v>
      </c>
      <c r="Q196" s="3"/>
    </row>
    <row r="197" ht="15.75" customHeight="1">
      <c r="B197" s="3"/>
      <c r="F197" s="3"/>
      <c r="G197" s="3"/>
      <c r="H197" s="3"/>
      <c r="I197" s="3"/>
      <c r="J197" s="3"/>
      <c r="K197" s="3"/>
      <c r="L197" s="3"/>
      <c r="M197" s="3"/>
      <c r="O197" s="3">
        <f t="shared" si="1"/>
        <v>0</v>
      </c>
      <c r="P197" s="3" t="str">
        <f>IF(O197="","",IF(O197&gt;=Setup!$B$15,"High",IF(O197&gt;=Setup!$B$16,"Medium","Low")))</f>
        <v>Low</v>
      </c>
      <c r="Q197" s="3"/>
    </row>
    <row r="198" ht="15.75" customHeight="1">
      <c r="B198" s="3"/>
      <c r="F198" s="3"/>
      <c r="G198" s="3"/>
      <c r="H198" s="3"/>
      <c r="I198" s="3"/>
      <c r="J198" s="3"/>
      <c r="K198" s="3"/>
      <c r="L198" s="3"/>
      <c r="M198" s="3"/>
      <c r="O198" s="3">
        <f t="shared" si="1"/>
        <v>0</v>
      </c>
      <c r="P198" s="3" t="str">
        <f>IF(O198="","",IF(O198&gt;=Setup!$B$15,"High",IF(O198&gt;=Setup!$B$16,"Medium","Low")))</f>
        <v>Low</v>
      </c>
      <c r="Q198" s="3"/>
    </row>
    <row r="199" ht="15.75" customHeight="1">
      <c r="B199" s="3"/>
      <c r="F199" s="3"/>
      <c r="G199" s="3"/>
      <c r="H199" s="3"/>
      <c r="I199" s="3"/>
      <c r="J199" s="3"/>
      <c r="K199" s="3"/>
      <c r="L199" s="3"/>
      <c r="M199" s="3"/>
      <c r="O199" s="3">
        <f t="shared" si="1"/>
        <v>0</v>
      </c>
      <c r="P199" s="3" t="str">
        <f>IF(O199="","",IF(O199&gt;=Setup!$B$15,"High",IF(O199&gt;=Setup!$B$16,"Medium","Low")))</f>
        <v>Low</v>
      </c>
      <c r="Q199" s="3"/>
    </row>
    <row r="200" ht="15.75" customHeight="1">
      <c r="B200" s="3"/>
      <c r="F200" s="3"/>
      <c r="G200" s="3"/>
      <c r="H200" s="3"/>
      <c r="I200" s="3"/>
      <c r="J200" s="3"/>
      <c r="K200" s="3"/>
      <c r="L200" s="3"/>
      <c r="M200" s="3"/>
      <c r="O200" s="3">
        <f t="shared" si="1"/>
        <v>0</v>
      </c>
      <c r="P200" s="3" t="str">
        <f>IF(O200="","",IF(O200&gt;=Setup!$B$15,"High",IF(O200&gt;=Setup!$B$16,"Medium","Low")))</f>
        <v>Low</v>
      </c>
      <c r="Q200" s="3"/>
    </row>
    <row r="201" ht="15.75" customHeight="1">
      <c r="B201" s="3"/>
      <c r="F201" s="3"/>
      <c r="G201" s="3"/>
      <c r="H201" s="3"/>
      <c r="I201" s="3"/>
      <c r="J201" s="3"/>
      <c r="K201" s="3"/>
      <c r="L201" s="3"/>
      <c r="M201" s="3"/>
      <c r="O201" s="3">
        <f t="shared" si="1"/>
        <v>0</v>
      </c>
      <c r="P201" s="3" t="str">
        <f>IF(O201="","",IF(O201&gt;=Setup!$B$15,"High",IF(O201&gt;=Setup!$B$16,"Medium","Low")))</f>
        <v>Low</v>
      </c>
      <c r="Q201" s="3"/>
    </row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P2:P201">
    <cfRule type="expression" dxfId="0" priority="1">
      <formula>P2="High"</formula>
    </cfRule>
  </conditionalFormatting>
  <conditionalFormatting sqref="P2:P201">
    <cfRule type="expression" dxfId="1" priority="2">
      <formula>P2="Medium"</formula>
    </cfRule>
  </conditionalFormatting>
  <conditionalFormatting sqref="P2:P201">
    <cfRule type="expression" dxfId="2" priority="3">
      <formula>P2="Low"</formula>
    </cfRule>
  </conditionalFormatting>
  <conditionalFormatting sqref="F3">
    <cfRule type="colorScale" priority="4">
      <colorScale>
        <cfvo type="min"/>
        <cfvo type="max"/>
        <color rgb="FFFFFFFF"/>
        <color rgb="FF57BB8A"/>
      </colorScale>
    </cfRule>
  </conditionalFormatting>
  <dataValidations>
    <dataValidation type="decimal" allowBlank="1" sqref="G2:G201">
      <formula1>0.0</formula1>
      <formula2>20.0</formula2>
    </dataValidation>
    <dataValidation type="list" allowBlank="1" sqref="B3:B201">
      <formula1>"Cafe/Restaurant,Retail,Grocery,Services,Charity/Reuse,Other"</formula1>
    </dataValidation>
    <dataValidation type="list" allowBlank="1" sqref="Q2:Q201">
      <formula1>"Not contacted,Contacted,Interested,Onboarded,Declined,Do not contact"</formula1>
    </dataValidation>
    <dataValidation type="decimal" allowBlank="1" sqref="F2:F201 H2:M201">
      <formula1>0.0</formula1>
      <formula2>10.0</formula2>
    </dataValidation>
  </dataValidations>
  <hyperlinks>
    <hyperlink r:id="rId1" ref="D3"/>
    <hyperlink r:id="rId2" ref="D4"/>
    <hyperlink r:id="rId3" ref="D5"/>
    <hyperlink r:id="rId4" ref="E5"/>
    <hyperlink r:id="rId5" ref="D6"/>
    <hyperlink r:id="rId6" ref="D7"/>
    <hyperlink r:id="rId7" ref="D8"/>
    <hyperlink r:id="rId8" ref="E8"/>
    <hyperlink r:id="rId9" ref="D9"/>
    <hyperlink r:id="rId10" ref="D10"/>
    <hyperlink r:id="rId11" ref="D11"/>
    <hyperlink r:id="rId12" ref="D12"/>
    <hyperlink r:id="rId13" ref="E12"/>
    <hyperlink r:id="rId14" ref="D13"/>
    <hyperlink r:id="rId15" ref="E13"/>
    <hyperlink r:id="rId16" ref="D14"/>
    <hyperlink r:id="rId17" ref="E14"/>
    <hyperlink r:id="rId18" ref="D15"/>
    <hyperlink r:id="rId19" ref="E15"/>
    <hyperlink r:id="rId20" ref="D16"/>
    <hyperlink r:id="rId21" ref="E16"/>
    <hyperlink r:id="rId22" ref="D17"/>
    <hyperlink r:id="rId23" ref="E17"/>
    <hyperlink r:id="rId24" ref="D18"/>
    <hyperlink r:id="rId25" ref="E18"/>
    <hyperlink r:id="rId26" ref="D19"/>
    <hyperlink r:id="rId27" ref="D20"/>
    <hyperlink r:id="rId28" ref="E20"/>
    <hyperlink r:id="rId29" ref="D21"/>
    <hyperlink r:id="rId30" ref="E21"/>
    <hyperlink r:id="rId31" ref="D22"/>
    <hyperlink r:id="rId32" ref="E22"/>
    <hyperlink r:id="rId33" ref="D23"/>
    <hyperlink r:id="rId34" ref="E23"/>
    <hyperlink r:id="rId35" ref="D24"/>
    <hyperlink r:id="rId36" ref="E24"/>
    <hyperlink r:id="rId37" ref="D25"/>
    <hyperlink r:id="rId38" ref="E25"/>
  </hyperlinks>
  <printOptions/>
  <pageMargins bottom="1.0" footer="0.0" header="0.0" left="0.75" right="0.75" top="1.0"/>
  <pageSetup orientation="landscape"/>
  <drawing r:id="rId39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2026-02-19T13:42:48Z</dcterms:created>
  <dc:creator>openpyxl</dc:creator>
</cp:coreProperties>
</file>